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 Data" sheetId="1" r:id="rId4"/>
    <sheet state="visible" name="Inbound Data" sheetId="2" r:id="rId5"/>
    <sheet state="visible" name="Instructions" sheetId="3" r:id="rId6"/>
    <sheet state="visible" name="SLA Analysis" sheetId="4" r:id="rId7"/>
    <sheet state="visible" name="Performance Summary" sheetId="5" r:id="rId8"/>
    <sheet state="visible" name="Inbound Reconciliation" sheetId="6" r:id="rId9"/>
    <sheet state="visible" name="charts" sheetId="7" r:id="rId10"/>
  </sheets>
  <definedNames>
    <definedName hidden="1" localSheetId="0" name="_xlnm._FilterDatabase">'Raw Order Data'!$A$1:$H$61</definedName>
    <definedName hidden="1" localSheetId="1" name="_xlnm._FilterDatabase">'Inbound Data'!$A$1:$E$5</definedName>
    <definedName hidden="1" localSheetId="3" name="_xlnm._FilterDatabase">'SLA Analysis'!$A$1:$N$61</definedName>
    <definedName hidden="1" localSheetId="4" name="_xlnm._FilterDatabase">'Performance Summary'!$A$1:$H$16</definedName>
    <definedName hidden="1" localSheetId="5" name="_xlnm._FilterDatabase">'Inbound Reconciliation'!$A$1:$E$5</definedName>
  </definedNames>
  <calcPr/>
  <extLst>
    <ext uri="GoogleSheetsCustomDataVersion2">
      <go:sheetsCustomData xmlns:go="http://customooxmlschemas.google.com/" r:id="rId11" roundtripDataChecksum="OX6xIPt3I1LkXuJdQVEvJ1rl05e0GswnS2HWciODAtc="/>
    </ext>
  </extLst>
</workbook>
</file>

<file path=xl/sharedStrings.xml><?xml version="1.0" encoding="utf-8"?>
<sst xmlns="http://schemas.openxmlformats.org/spreadsheetml/2006/main" count="661" uniqueCount="134">
  <si>
    <t>Order ID</t>
  </si>
  <si>
    <t>Order Date</t>
  </si>
  <si>
    <t>Ship Date</t>
  </si>
  <si>
    <t>Warehouse</t>
  </si>
  <si>
    <t>Country</t>
  </si>
  <si>
    <t>Carrier</t>
  </si>
  <si>
    <t>Units Ordered</t>
  </si>
  <si>
    <t>Units Shipped</t>
  </si>
  <si>
    <t>ORD-0001</t>
  </si>
  <si>
    <t>Fidelity NL</t>
  </si>
  <si>
    <t>Germany</t>
  </si>
  <si>
    <t>FedEx</t>
  </si>
  <si>
    <t>ORD-0002</t>
  </si>
  <si>
    <t>Devlnd UK</t>
  </si>
  <si>
    <t>United Kingdom</t>
  </si>
  <si>
    <t>DPD</t>
  </si>
  <si>
    <t>ORD-0003</t>
  </si>
  <si>
    <t>InterFulfillment CA</t>
  </si>
  <si>
    <t>Canada</t>
  </si>
  <si>
    <t>UPS</t>
  </si>
  <si>
    <t>ORD-0004</t>
  </si>
  <si>
    <t>Royal Mail</t>
  </si>
  <si>
    <t>ORD-0005</t>
  </si>
  <si>
    <t>DHL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</si>
  <si>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</si>
  <si>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</si>
  <si>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</si>
  <si>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</si>
  <si>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</si>
  <si>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</si>
  <si>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</si>
  <si>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</si>
  <si>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</si>
  <si>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</si>
  <si>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</si>
  <si>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</si>
  <si>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</si>
  <si>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</si>
  <si>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</si>
  <si>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</si>
  <si>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</si>
  <si>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</si>
  <si>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</si>
  <si>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</si>
  <si>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</si>
  <si>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</si>
  <si>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</si>
  <si>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</si>
  <si>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</si>
  <si>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</si>
  <si>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</si>
  <si>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</si>
  <si>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</si>
  <si>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</si>
  <si>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</si>
  <si>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</si>
  <si>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</si>
  <si>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</si>
  <si>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</si>
  <si>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</si>
  <si>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</si>
  <si>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</si>
  <si>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</si>
  <si>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</si>
  <si>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</si>
  <si>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</si>
  <si>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</si>
  <si>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</si>
  <si>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</si>
  <si>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</si>
  <si>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</si>
  <si>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</si>
  <si>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</si>
  <si>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</si>
  <si>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</si>
  <si>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</si>
  <si>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</si>
  <si>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</si>
  <si>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</si>
  <si>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Inbound PO</t>
  </si>
  <si>
    <t>Expected Inbound Units</t>
  </si>
  <si>
    <t>Received Inbound Units</t>
  </si>
  <si>
    <t>Issue Flag</t>
  </si>
  <si>
    <t>Operational Notes</t>
  </si>
  <si>
    <t>PO-DE-1005</t>
  </si>
  <si>
    <t>Inbound received within expected quantity.</t>
  </si>
  <si>
    <t>PO-FI-1022</t>
  </si>
  <si>
    <t>Inbound discrepancy</t>
  </si>
  <si>
    <t>Pallet count matches, but unit count does not match the packing list.</t>
  </si>
  <si>
    <t>PO-IN-1039</t>
  </si>
  <si>
    <t>PO-DE-1056</t>
  </si>
  <si>
    <t>Candidate Workbook Instructions</t>
  </si>
  <si>
    <t>Use the Raw Order Data tab for fulfillment SLA analysis and the Inbound Data tab for warehouse and forwarder reconciliation. Do not overwrite the raw data.</t>
  </si>
  <si>
    <t>Create your analysis in new tabs or columns. Use formulas where practical so the calculations can be audited.</t>
  </si>
  <si>
    <t>Assumptions for this exercise</t>
  </si>
  <si>
    <t>Order-processing SLA: orders should ship within 2 business days of the order date.</t>
  </si>
  <si>
    <t>Business days exclude Saturdays and Sundays. No holidays need to be excluded.</t>
  </si>
  <si>
    <t>For orders with no ship date, do not invent a ship date. Flag them for follow-up.</t>
  </si>
  <si>
    <t>For inbound discrepancies, compare Expected Inbound Units with Received Inbound Units on the Inbound Data tab.</t>
  </si>
  <si>
    <t>Expected outputs</t>
  </si>
  <si>
    <t>1. Row-level business-day ship time and SLA status.</t>
  </si>
  <si>
    <t>2. Summary by warehouse and carrier, including average ship time, order volume, over-SLA orders, and percentage over SLA.</t>
  </si>
  <si>
    <t>3. Reconciliation summary for any inbound or short-shipment discrepancies.</t>
  </si>
  <si>
    <t>4. A short list of operational priorities and recommended next actions.</t>
  </si>
  <si>
    <t>Business Days to Ship</t>
  </si>
  <si>
    <t>SLA Status</t>
  </si>
  <si>
    <t>Over SLA Flag</t>
  </si>
  <si>
    <t>Shipping Status</t>
  </si>
  <si>
    <t>Unit Variance</t>
  </si>
  <si>
    <t>Shipment Completeness</t>
  </si>
  <si>
    <t>Total Orders</t>
  </si>
  <si>
    <t>Shipped Orders</t>
  </si>
  <si>
    <t>Avg. Business Days</t>
  </si>
  <si>
    <t>Over SLA Orders</t>
  </si>
  <si>
    <t>Over SLA %</t>
  </si>
  <si>
    <t>Missing Ship Date Orders</t>
  </si>
  <si>
    <t>Not Shipped Orders</t>
  </si>
  <si>
    <t>Classification</t>
  </si>
  <si>
    <t>Missing Units</t>
  </si>
  <si>
    <t>Investigation Required</t>
  </si>
  <si>
    <t>Recommended Action</t>
  </si>
  <si>
    <t>Expected</t>
  </si>
  <si>
    <t>Received</t>
  </si>
  <si>
    <t>Total Inbound POs</t>
  </si>
  <si>
    <t>Matched POs</t>
  </si>
  <si>
    <t>Short Received POs</t>
  </si>
  <si>
    <t>Over Received POs</t>
  </si>
  <si>
    <t>Total Shortage Units</t>
  </si>
  <si>
    <t>Category</t>
  </si>
  <si>
    <t>Within SLA</t>
  </si>
  <si>
    <t>Over SLA</t>
  </si>
  <si>
    <t>Missing Ship Date</t>
  </si>
  <si>
    <t>Over SLA / Shipped</t>
  </si>
  <si>
    <t>All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</si>
</sst>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6.0"/>
      <color rgb="FF1F4E78"/>
      <name val="Calibri"/>
      <scheme val="minor"/>
    </font>
    <font>
      <b/>
      <color rgb="FF1F4E78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0" xfId="0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 orders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charts!$S$1</c:f>
            </c:strRef>
          </c:tx>
          <c:spPr>
            <a:solidFill>
              <a:srgbClr val="07376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sz="1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charts!$R$2</c:f>
            </c:strRef>
          </c:cat>
          <c:val>
            <c:numRef>
              <c:f>charts!$S$2</c:f>
              <c:numCache/>
            </c:numRef>
          </c:val>
        </c:ser>
        <c:ser>
          <c:idx val="1"/>
          <c:order val="1"/>
          <c:tx>
            <c:strRef>
              <c:f>charts!$T$1</c:f>
            </c:strRef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sz="1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charts!$R$2</c:f>
            </c:strRef>
          </c:cat>
          <c:val>
            <c:numRef>
              <c:f>charts!$T$2</c:f>
              <c:numCache/>
            </c:numRef>
          </c:val>
        </c:ser>
        <c:ser>
          <c:idx val="2"/>
          <c:order val="2"/>
          <c:tx>
            <c:strRef>
              <c:f>charts!$U$1</c:f>
            </c:strRef>
          </c:tx>
          <c:spPr>
            <a:solidFill>
              <a:srgbClr val="00FF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sz="16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charts!$R$2</c:f>
            </c:strRef>
          </c:cat>
          <c:val>
            <c:numRef>
              <c:f>charts!$U$2</c:f>
              <c:numCache/>
            </c:numRef>
          </c:val>
        </c:ser>
        <c:overlap val="100"/>
        <c:axId val="1267418494"/>
        <c:axId val="3172840"/>
      </c:barChart>
      <c:catAx>
        <c:axId val="12674184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2840"/>
      </c:catAx>
      <c:valAx>
        <c:axId val="3172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4184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 SLA Rate vs. Warehouse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charts!$W$2</c:f>
            </c:strRef>
          </c:tx>
          <c:spPr>
            <a:solidFill>
              <a:srgbClr val="F1C23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charts!$X$1</c:f>
            </c:strRef>
          </c:cat>
          <c:val>
            <c:numRef>
              <c:f>charts!$X$2</c:f>
              <c:numCache/>
            </c:numRef>
          </c:val>
        </c:ser>
        <c:ser>
          <c:idx val="1"/>
          <c:order val="1"/>
          <c:tx>
            <c:strRef>
              <c:f>charts!$W$3</c:f>
            </c:strRef>
          </c:tx>
          <c:spPr>
            <a:solidFill>
              <a:srgbClr val="20124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charts!$X$1</c:f>
            </c:strRef>
          </c:cat>
          <c:val>
            <c:numRef>
              <c:f>charts!$X$3</c:f>
              <c:numCache/>
            </c:numRef>
          </c:val>
        </c:ser>
        <c:ser>
          <c:idx val="2"/>
          <c:order val="2"/>
          <c:tx>
            <c:strRef>
              <c:f>charts!$W$4</c:f>
            </c:strRef>
          </c:tx>
          <c:spPr>
            <a:solidFill>
              <a:srgbClr val="20124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charts!$X$1</c:f>
            </c:strRef>
          </c:cat>
          <c:val>
            <c:numRef>
              <c:f>charts!$X$4</c:f>
              <c:numCache/>
            </c:numRef>
          </c:val>
        </c:ser>
        <c:axId val="1201862693"/>
        <c:axId val="1227607759"/>
      </c:barChart>
      <c:catAx>
        <c:axId val="12018626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607759"/>
      </c:catAx>
      <c:valAx>
        <c:axId val="12276077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862693"/>
        <c:crosses val="max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Inbound units by purchase order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'Inbound Reconciliation'!$M$1</c:f>
            </c:strRef>
          </c:tx>
          <c:spPr>
            <a:solidFill>
              <a:srgbClr val="1F4E7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'Inbound Reconciliation'!$L$2:$L$5</c:f>
            </c:strRef>
          </c:cat>
          <c:val>
            <c:numRef>
              <c:f>'Inbound Reconciliation'!$M$2:$M$5</c:f>
              <c:numCache/>
            </c:numRef>
          </c:val>
        </c:ser>
        <c:ser>
          <c:idx val="1"/>
          <c:order val="1"/>
          <c:tx>
            <c:strRef>
              <c:f>'Inbound Reconciliation'!$N$1</c:f>
            </c:strRef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'Inbound Reconciliation'!$L$2:$L$5</c:f>
            </c:strRef>
          </c:cat>
          <c:val>
            <c:numRef>
              <c:f>'Inbound Reconciliation'!$N$2:$N$5</c:f>
              <c:numCache/>
            </c:numRef>
          </c:val>
        </c:ser>
        <c:axId val="1388897271"/>
        <c:axId val="1130466630"/>
      </c:barChart>
      <c:catAx>
        <c:axId val="1388897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466630"/>
      </c:catAx>
      <c:valAx>
        <c:axId val="1130466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8972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9639300" cy="1695450"/>
    <xdr:graphicFrame>
      <xdr:nvGraphicFramePr>
        <xdr:cNvPr id="208837051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27</xdr:row>
      <xdr:rowOff>28575</xdr:rowOff>
    </xdr:from>
    <xdr:ext cx="7134225" cy="2800350"/>
    <xdr:graphicFrame>
      <xdr:nvGraphicFramePr>
        <xdr:cNvPr id="131409912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219075</xdr:colOff>
      <xdr:row>14</xdr:row>
      <xdr:rowOff>76200</xdr:rowOff>
    </xdr:from>
    <xdr:ext cx="5715000" cy="3533775"/>
    <xdr:graphicFrame>
      <xdr:nvGraphicFramePr>
        <xdr:cNvPr id="154077118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3.0"/>
    <col customWidth="1" min="4" max="4" width="20.0"/>
    <col customWidth="1" min="5" max="5" width="16.0"/>
    <col customWidth="1" min="6" max="8" width="14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46239.0</v>
      </c>
      <c r="C2" s="3">
        <v>46240.0</v>
      </c>
      <c r="D2" s="2" t="s">
        <v>9</v>
      </c>
      <c r="E2" s="2" t="s">
        <v>10</v>
      </c>
      <c r="F2" s="2" t="s">
        <v>11</v>
      </c>
      <c r="G2" s="2">
        <v>2.0</v>
      </c>
      <c r="H2" s="2">
        <v>2.0</v>
      </c>
    </row>
    <row r="3">
      <c r="A3" s="2" t="s">
        <v>12</v>
      </c>
      <c r="B3" s="3">
        <v>46241.0</v>
      </c>
      <c r="C3" s="3">
        <v>46242.0</v>
      </c>
      <c r="D3" s="2" t="s">
        <v>13</v>
      </c>
      <c r="E3" s="2" t="s">
        <v>14</v>
      </c>
      <c r="F3" s="2" t="s">
        <v>15</v>
      </c>
      <c r="G3" s="2">
        <v>3.0</v>
      </c>
      <c r="H3" s="2">
        <v>3.0</v>
      </c>
    </row>
    <row r="4">
      <c r="A4" s="2" t="s">
        <v>16</v>
      </c>
      <c r="B4" s="3">
        <v>46244.0</v>
      </c>
      <c r="C4" s="3">
        <v>46246.0</v>
      </c>
      <c r="D4" s="2" t="s">
        <v>17</v>
      </c>
      <c r="E4" s="2" t="s">
        <v>18</v>
      </c>
      <c r="F4" s="2" t="s">
        <v>19</v>
      </c>
      <c r="G4" s="2">
        <v>4.0</v>
      </c>
      <c r="H4" s="2">
        <v>4.0</v>
      </c>
    </row>
    <row r="5">
      <c r="A5" s="2" t="s">
        <v>20</v>
      </c>
      <c r="B5" s="3">
        <v>46245.0</v>
      </c>
      <c r="C5" s="3">
        <v>46247.0</v>
      </c>
      <c r="D5" s="2" t="s">
        <v>9</v>
      </c>
      <c r="E5" s="2" t="s">
        <v>10</v>
      </c>
      <c r="F5" s="2" t="s">
        <v>21</v>
      </c>
      <c r="G5" s="2">
        <v>6.0</v>
      </c>
      <c r="H5" s="2">
        <v>6.0</v>
      </c>
    </row>
    <row r="6">
      <c r="A6" s="2" t="s">
        <v>22</v>
      </c>
      <c r="B6" s="3">
        <v>46247.0</v>
      </c>
      <c r="C6" s="3">
        <v>46250.0</v>
      </c>
      <c r="D6" s="2" t="s">
        <v>13</v>
      </c>
      <c r="E6" s="2" t="s">
        <v>14</v>
      </c>
      <c r="F6" s="2" t="s">
        <v>23</v>
      </c>
      <c r="G6" s="2">
        <v>12.0</v>
      </c>
      <c r="H6" s="2">
        <v>12.0</v>
      </c>
    </row>
    <row r="7">
      <c r="A7" s="2" t="s">
        <v>24</v>
      </c>
      <c r="B7" s="3">
        <v>46251.0</v>
      </c>
      <c r="C7" s="3">
        <v>46255.0</v>
      </c>
      <c r="D7" s="2" t="s">
        <v>17</v>
      </c>
      <c r="E7" s="2" t="s">
        <v>18</v>
      </c>
      <c r="F7" s="2" t="s">
        <v>11</v>
      </c>
      <c r="G7" s="2">
        <v>1.0</v>
      </c>
      <c r="H7" s="2">
        <v>1.0</v>
      </c>
    </row>
    <row r="8">
      <c r="A8" s="2" t="s">
        <v>25</v>
      </c>
      <c r="B8" s="3">
        <v>46251.0</v>
      </c>
      <c r="C8" s="3">
        <v>46256.0</v>
      </c>
      <c r="D8" s="2" t="s">
        <v>9</v>
      </c>
      <c r="E8" s="2" t="s">
        <v>10</v>
      </c>
      <c r="F8" s="2" t="s">
        <v>15</v>
      </c>
      <c r="G8" s="2">
        <v>2.0</v>
      </c>
      <c r="H8" s="2">
        <v>1.0</v>
      </c>
    </row>
    <row r="9">
      <c r="A9" s="2" t="s">
        <v>26</v>
      </c>
      <c r="B9" s="3">
        <v>46253.0</v>
      </c>
      <c r="C9" s="3">
        <v>46260.0</v>
      </c>
      <c r="D9" s="2" t="s">
        <v>13</v>
      </c>
      <c r="E9" s="2" t="s">
        <v>14</v>
      </c>
      <c r="F9" s="2" t="s">
        <v>19</v>
      </c>
      <c r="G9" s="2">
        <v>3.0</v>
      </c>
      <c r="H9" s="2">
        <v>3.0</v>
      </c>
    </row>
    <row r="10">
      <c r="A10" s="2" t="s">
        <v>27</v>
      </c>
      <c r="B10" s="3">
        <v>46255.0</v>
      </c>
      <c r="C10" s="3">
        <v>46255.0</v>
      </c>
      <c r="D10" s="2" t="s">
        <v>17</v>
      </c>
      <c r="E10" s="2" t="s">
        <v>18</v>
      </c>
      <c r="F10" s="2" t="s">
        <v>21</v>
      </c>
      <c r="G10" s="2">
        <v>4.0</v>
      </c>
      <c r="H10" s="2">
        <v>4.0</v>
      </c>
    </row>
    <row r="11">
      <c r="A11" s="2" t="s">
        <v>28</v>
      </c>
      <c r="B11" s="3">
        <v>46258.0</v>
      </c>
      <c r="C11" s="3">
        <v>46259.0</v>
      </c>
      <c r="D11" s="2" t="s">
        <v>9</v>
      </c>
      <c r="E11" s="2" t="s">
        <v>10</v>
      </c>
      <c r="F11" s="2" t="s">
        <v>23</v>
      </c>
      <c r="G11" s="2">
        <v>6.0</v>
      </c>
      <c r="H11" s="2">
        <v>6.0</v>
      </c>
    </row>
    <row r="12">
      <c r="A12" s="2" t="s">
        <v>29</v>
      </c>
      <c r="B12" s="3">
        <v>46259.0</v>
      </c>
      <c r="C12" s="3"/>
      <c r="D12" s="2" t="s">
        <v>13</v>
      </c>
      <c r="E12" s="2" t="s">
        <v>14</v>
      </c>
      <c r="F12" s="2" t="s">
        <v>11</v>
      </c>
      <c r="G12" s="2">
        <v>12.0</v>
      </c>
      <c r="H12" s="2">
        <v>12.0</v>
      </c>
    </row>
    <row r="13">
      <c r="A13" s="2" t="s">
        <v>30</v>
      </c>
      <c r="B13" s="3">
        <v>46261.0</v>
      </c>
      <c r="C13" s="3">
        <v>46263.0</v>
      </c>
      <c r="D13" s="2" t="s">
        <v>17</v>
      </c>
      <c r="E13" s="2" t="s">
        <v>18</v>
      </c>
      <c r="F13" s="2" t="s">
        <v>15</v>
      </c>
      <c r="G13" s="2">
        <v>1.0</v>
      </c>
      <c r="H13" s="2">
        <v>1.0</v>
      </c>
    </row>
    <row r="14">
      <c r="A14" s="2" t="s">
        <v>31</v>
      </c>
      <c r="B14" s="3">
        <v>46265.0</v>
      </c>
      <c r="C14" s="3">
        <v>46267.0</v>
      </c>
      <c r="D14" s="2" t="s">
        <v>9</v>
      </c>
      <c r="E14" s="2" t="s">
        <v>10</v>
      </c>
      <c r="F14" s="2" t="s">
        <v>19</v>
      </c>
      <c r="G14" s="2">
        <v>2.0</v>
      </c>
      <c r="H14" s="2">
        <v>2.0</v>
      </c>
    </row>
    <row r="15">
      <c r="A15" s="2" t="s">
        <v>32</v>
      </c>
      <c r="B15" s="3">
        <v>46265.0</v>
      </c>
      <c r="C15" s="3">
        <v>46268.0</v>
      </c>
      <c r="D15" s="2" t="s">
        <v>13</v>
      </c>
      <c r="E15" s="2" t="s">
        <v>14</v>
      </c>
      <c r="F15" s="2" t="s">
        <v>21</v>
      </c>
      <c r="G15" s="2">
        <v>3.0</v>
      </c>
      <c r="H15" s="2">
        <v>3.0</v>
      </c>
    </row>
    <row r="16">
      <c r="A16" s="2" t="s">
        <v>33</v>
      </c>
      <c r="B16" s="3">
        <v>46238.0</v>
      </c>
      <c r="C16" s="3">
        <v>46242.0</v>
      </c>
      <c r="D16" s="2" t="s">
        <v>17</v>
      </c>
      <c r="E16" s="2" t="s">
        <v>18</v>
      </c>
      <c r="F16" s="2" t="s">
        <v>23</v>
      </c>
      <c r="G16" s="2">
        <v>4.0</v>
      </c>
      <c r="H16" s="2">
        <v>4.0</v>
      </c>
    </row>
    <row r="17">
      <c r="A17" s="2" t="s">
        <v>34</v>
      </c>
      <c r="B17" s="3">
        <v>46240.0</v>
      </c>
      <c r="C17" s="3">
        <v>46245.0</v>
      </c>
      <c r="D17" s="2" t="s">
        <v>9</v>
      </c>
      <c r="E17" s="2" t="s">
        <v>10</v>
      </c>
      <c r="F17" s="2" t="s">
        <v>11</v>
      </c>
      <c r="G17" s="2">
        <v>6.0</v>
      </c>
      <c r="H17" s="2">
        <v>6.0</v>
      </c>
    </row>
    <row r="18">
      <c r="A18" s="2" t="s">
        <v>35</v>
      </c>
      <c r="B18" s="3">
        <v>46244.0</v>
      </c>
      <c r="C18" s="3">
        <v>46251.0</v>
      </c>
      <c r="D18" s="2" t="s">
        <v>13</v>
      </c>
      <c r="E18" s="2" t="s">
        <v>14</v>
      </c>
      <c r="F18" s="2" t="s">
        <v>15</v>
      </c>
      <c r="G18" s="2">
        <v>12.0</v>
      </c>
      <c r="H18" s="2">
        <v>12.0</v>
      </c>
    </row>
    <row r="19">
      <c r="A19" s="2" t="s">
        <v>36</v>
      </c>
      <c r="B19" s="3">
        <v>46244.0</v>
      </c>
      <c r="C19" s="3">
        <v>46244.0</v>
      </c>
      <c r="D19" s="2" t="s">
        <v>17</v>
      </c>
      <c r="E19" s="2" t="s">
        <v>18</v>
      </c>
      <c r="F19" s="2" t="s">
        <v>19</v>
      </c>
      <c r="G19" s="2">
        <v>1.0</v>
      </c>
      <c r="H19" s="2">
        <v>1.0</v>
      </c>
    </row>
    <row r="20">
      <c r="A20" s="2" t="s">
        <v>37</v>
      </c>
      <c r="B20" s="3">
        <v>46246.0</v>
      </c>
      <c r="C20" s="3">
        <v>46247.0</v>
      </c>
      <c r="D20" s="2" t="s">
        <v>9</v>
      </c>
      <c r="E20" s="2" t="s">
        <v>10</v>
      </c>
      <c r="F20" s="2" t="s">
        <v>21</v>
      </c>
      <c r="G20" s="2">
        <v>2.0</v>
      </c>
      <c r="H20" s="2">
        <v>1.0</v>
      </c>
    </row>
    <row r="21" ht="15.75" customHeight="1">
      <c r="A21" s="2" t="s">
        <v>38</v>
      </c>
      <c r="B21" s="3">
        <v>46248.0</v>
      </c>
      <c r="C21" s="3">
        <v>46249.0</v>
      </c>
      <c r="D21" s="2" t="s">
        <v>13</v>
      </c>
      <c r="E21" s="2" t="s">
        <v>14</v>
      </c>
      <c r="F21" s="2" t="s">
        <v>23</v>
      </c>
      <c r="G21" s="2">
        <v>3.0</v>
      </c>
      <c r="H21" s="2">
        <v>3.0</v>
      </c>
    </row>
    <row r="22" ht="15.75" customHeight="1">
      <c r="A22" s="2" t="s">
        <v>39</v>
      </c>
      <c r="B22" s="3">
        <v>46251.0</v>
      </c>
      <c r="C22" s="3">
        <v>46253.0</v>
      </c>
      <c r="D22" s="2" t="s">
        <v>17</v>
      </c>
      <c r="E22" s="2" t="s">
        <v>18</v>
      </c>
      <c r="F22" s="2" t="s">
        <v>11</v>
      </c>
      <c r="G22" s="2">
        <v>4.0</v>
      </c>
      <c r="H22" s="2">
        <v>4.0</v>
      </c>
    </row>
    <row r="23" ht="15.75" customHeight="1">
      <c r="A23" s="2" t="s">
        <v>40</v>
      </c>
      <c r="B23" s="3">
        <v>46252.0</v>
      </c>
      <c r="C23" s="3">
        <v>46254.0</v>
      </c>
      <c r="D23" s="2" t="s">
        <v>9</v>
      </c>
      <c r="E23" s="2" t="s">
        <v>10</v>
      </c>
      <c r="F23" s="2" t="s">
        <v>15</v>
      </c>
      <c r="G23" s="2">
        <v>6.0</v>
      </c>
      <c r="H23" s="2">
        <v>6.0</v>
      </c>
    </row>
    <row r="24" ht="15.75" customHeight="1">
      <c r="A24" s="2" t="s">
        <v>41</v>
      </c>
      <c r="B24" s="3">
        <v>46254.0</v>
      </c>
      <c r="C24" s="3">
        <v>46257.0</v>
      </c>
      <c r="D24" s="2" t="s">
        <v>13</v>
      </c>
      <c r="E24" s="2" t="s">
        <v>14</v>
      </c>
      <c r="F24" s="2" t="s">
        <v>19</v>
      </c>
      <c r="G24" s="2">
        <v>12.0</v>
      </c>
      <c r="H24" s="2">
        <v>12.0</v>
      </c>
    </row>
    <row r="25" ht="15.75" customHeight="1">
      <c r="A25" s="2" t="s">
        <v>42</v>
      </c>
      <c r="B25" s="3">
        <v>46258.0</v>
      </c>
      <c r="C25" s="3">
        <v>46262.0</v>
      </c>
      <c r="D25" s="2" t="s">
        <v>17</v>
      </c>
      <c r="E25" s="2" t="s">
        <v>18</v>
      </c>
      <c r="F25" s="2" t="s">
        <v>21</v>
      </c>
      <c r="G25" s="2">
        <v>1.0</v>
      </c>
      <c r="H25" s="2">
        <v>1.0</v>
      </c>
    </row>
    <row r="26" ht="15.75" customHeight="1">
      <c r="A26" s="2" t="s">
        <v>43</v>
      </c>
      <c r="B26" s="3">
        <v>46258.0</v>
      </c>
      <c r="C26" s="3">
        <v>46263.0</v>
      </c>
      <c r="D26" s="2" t="s">
        <v>9</v>
      </c>
      <c r="E26" s="2" t="s">
        <v>10</v>
      </c>
      <c r="F26" s="2" t="s">
        <v>23</v>
      </c>
      <c r="G26" s="2">
        <v>2.0</v>
      </c>
      <c r="H26" s="2">
        <v>2.0</v>
      </c>
    </row>
    <row r="27" ht="15.75" customHeight="1">
      <c r="A27" s="2" t="s">
        <v>44</v>
      </c>
      <c r="B27" s="3">
        <v>46260.0</v>
      </c>
      <c r="C27" s="3">
        <v>46267.0</v>
      </c>
      <c r="D27" s="2" t="s">
        <v>13</v>
      </c>
      <c r="E27" s="2" t="s">
        <v>14</v>
      </c>
      <c r="F27" s="2" t="s">
        <v>11</v>
      </c>
      <c r="G27" s="2">
        <v>3.0</v>
      </c>
      <c r="H27" s="2">
        <v>3.0</v>
      </c>
    </row>
    <row r="28" ht="15.75" customHeight="1">
      <c r="A28" s="2" t="s">
        <v>45</v>
      </c>
      <c r="B28" s="3">
        <v>46262.0</v>
      </c>
      <c r="C28" s="3"/>
      <c r="D28" s="2" t="s">
        <v>17</v>
      </c>
      <c r="E28" s="2" t="s">
        <v>18</v>
      </c>
      <c r="F28" s="2" t="s">
        <v>15</v>
      </c>
      <c r="G28" s="2">
        <v>4.0</v>
      </c>
      <c r="H28" s="2">
        <v>4.0</v>
      </c>
    </row>
    <row r="29" ht="15.75" customHeight="1">
      <c r="A29" s="2" t="s">
        <v>46</v>
      </c>
      <c r="B29" s="3">
        <v>46265.0</v>
      </c>
      <c r="C29" s="3">
        <v>46266.0</v>
      </c>
      <c r="D29" s="2" t="s">
        <v>9</v>
      </c>
      <c r="E29" s="2" t="s">
        <v>10</v>
      </c>
      <c r="F29" s="2" t="s">
        <v>19</v>
      </c>
      <c r="G29" s="2">
        <v>6.0</v>
      </c>
      <c r="H29" s="2">
        <v>6.0</v>
      </c>
    </row>
    <row r="30" ht="15.75" customHeight="1">
      <c r="A30" s="2" t="s">
        <v>47</v>
      </c>
      <c r="B30" s="3">
        <v>46237.0</v>
      </c>
      <c r="C30" s="3">
        <v>46238.0</v>
      </c>
      <c r="D30" s="2" t="s">
        <v>13</v>
      </c>
      <c r="E30" s="2" t="s">
        <v>14</v>
      </c>
      <c r="F30" s="2" t="s">
        <v>21</v>
      </c>
      <c r="G30" s="2">
        <v>12.0</v>
      </c>
      <c r="H30" s="2">
        <v>12.0</v>
      </c>
    </row>
    <row r="31" ht="15.75" customHeight="1">
      <c r="A31" s="2" t="s">
        <v>48</v>
      </c>
      <c r="B31" s="3">
        <v>46239.0</v>
      </c>
      <c r="C31" s="3">
        <v>46241.0</v>
      </c>
      <c r="D31" s="2" t="s">
        <v>17</v>
      </c>
      <c r="E31" s="2" t="s">
        <v>18</v>
      </c>
      <c r="F31" s="2" t="s">
        <v>23</v>
      </c>
      <c r="G31" s="2">
        <v>1.0</v>
      </c>
      <c r="H31" s="2">
        <v>1.0</v>
      </c>
    </row>
    <row r="32" ht="15.75" customHeight="1">
      <c r="A32" s="2" t="s">
        <v>49</v>
      </c>
      <c r="B32" s="3">
        <v>46241.0</v>
      </c>
      <c r="C32" s="3">
        <v>46243.0</v>
      </c>
      <c r="D32" s="2" t="s">
        <v>9</v>
      </c>
      <c r="E32" s="2" t="s">
        <v>10</v>
      </c>
      <c r="F32" s="2" t="s">
        <v>11</v>
      </c>
      <c r="G32" s="2">
        <v>2.0</v>
      </c>
      <c r="H32" s="2">
        <v>2.0</v>
      </c>
    </row>
    <row r="33" ht="15.75" customHeight="1">
      <c r="A33" s="2" t="s">
        <v>50</v>
      </c>
      <c r="B33" s="3">
        <v>46244.0</v>
      </c>
      <c r="C33" s="3">
        <v>46247.0</v>
      </c>
      <c r="D33" s="2" t="s">
        <v>13</v>
      </c>
      <c r="E33" s="2" t="s">
        <v>14</v>
      </c>
      <c r="F33" s="2" t="s">
        <v>15</v>
      </c>
      <c r="G33" s="2">
        <v>3.0</v>
      </c>
      <c r="H33" s="2">
        <v>3.0</v>
      </c>
    </row>
    <row r="34" ht="15.75" customHeight="1">
      <c r="A34" s="2" t="s">
        <v>51</v>
      </c>
      <c r="B34" s="3">
        <v>46245.0</v>
      </c>
      <c r="C34" s="3">
        <v>46249.0</v>
      </c>
      <c r="D34" s="2" t="s">
        <v>17</v>
      </c>
      <c r="E34" s="2" t="s">
        <v>18</v>
      </c>
      <c r="F34" s="2" t="s">
        <v>19</v>
      </c>
      <c r="G34" s="2">
        <v>4.0</v>
      </c>
      <c r="H34" s="2">
        <v>4.0</v>
      </c>
    </row>
    <row r="35" ht="15.75" customHeight="1">
      <c r="A35" s="2" t="s">
        <v>52</v>
      </c>
      <c r="B35" s="3">
        <v>46247.0</v>
      </c>
      <c r="C35" s="3">
        <v>46252.0</v>
      </c>
      <c r="D35" s="2" t="s">
        <v>9</v>
      </c>
      <c r="E35" s="2" t="s">
        <v>10</v>
      </c>
      <c r="F35" s="2" t="s">
        <v>21</v>
      </c>
      <c r="G35" s="2">
        <v>6.0</v>
      </c>
      <c r="H35" s="2">
        <v>5.0</v>
      </c>
    </row>
    <row r="36" ht="15.75" customHeight="1">
      <c r="A36" s="2" t="s">
        <v>53</v>
      </c>
      <c r="B36" s="3">
        <v>46251.0</v>
      </c>
      <c r="C36" s="3">
        <v>46258.0</v>
      </c>
      <c r="D36" s="2" t="s">
        <v>13</v>
      </c>
      <c r="E36" s="2" t="s">
        <v>14</v>
      </c>
      <c r="F36" s="2" t="s">
        <v>23</v>
      </c>
      <c r="G36" s="2">
        <v>12.0</v>
      </c>
      <c r="H36" s="2">
        <v>12.0</v>
      </c>
    </row>
    <row r="37" ht="15.75" customHeight="1">
      <c r="A37" s="2" t="s">
        <v>54</v>
      </c>
      <c r="B37" s="3">
        <v>46251.0</v>
      </c>
      <c r="C37" s="3">
        <v>46251.0</v>
      </c>
      <c r="D37" s="2" t="s">
        <v>17</v>
      </c>
      <c r="E37" s="2" t="s">
        <v>18</v>
      </c>
      <c r="F37" s="2" t="s">
        <v>11</v>
      </c>
      <c r="G37" s="2">
        <v>1.0</v>
      </c>
      <c r="H37" s="2">
        <v>1.0</v>
      </c>
    </row>
    <row r="38" ht="15.75" customHeight="1">
      <c r="A38" s="2" t="s">
        <v>55</v>
      </c>
      <c r="B38" s="3">
        <v>46253.0</v>
      </c>
      <c r="C38" s="3">
        <v>46254.0</v>
      </c>
      <c r="D38" s="2" t="s">
        <v>9</v>
      </c>
      <c r="E38" s="2" t="s">
        <v>10</v>
      </c>
      <c r="F38" s="2" t="s">
        <v>15</v>
      </c>
      <c r="G38" s="2">
        <v>2.0</v>
      </c>
      <c r="H38" s="2">
        <v>2.0</v>
      </c>
    </row>
    <row r="39" ht="15.75" customHeight="1">
      <c r="A39" s="2" t="s">
        <v>56</v>
      </c>
      <c r="B39" s="3">
        <v>46255.0</v>
      </c>
      <c r="C39" s="3">
        <v>46256.0</v>
      </c>
      <c r="D39" s="2" t="s">
        <v>13</v>
      </c>
      <c r="E39" s="2" t="s">
        <v>14</v>
      </c>
      <c r="F39" s="2" t="s">
        <v>19</v>
      </c>
      <c r="G39" s="2">
        <v>3.0</v>
      </c>
      <c r="H39" s="2">
        <v>3.0</v>
      </c>
    </row>
    <row r="40" ht="15.75" customHeight="1">
      <c r="A40" s="2" t="s">
        <v>57</v>
      </c>
      <c r="B40" s="3">
        <v>46258.0</v>
      </c>
      <c r="C40" s="3">
        <v>46260.0</v>
      </c>
      <c r="D40" s="2" t="s">
        <v>17</v>
      </c>
      <c r="E40" s="2" t="s">
        <v>18</v>
      </c>
      <c r="F40" s="2" t="s">
        <v>21</v>
      </c>
      <c r="G40" s="2">
        <v>4.0</v>
      </c>
      <c r="H40" s="2">
        <v>4.0</v>
      </c>
    </row>
    <row r="41" ht="15.75" customHeight="1">
      <c r="A41" s="2" t="s">
        <v>58</v>
      </c>
      <c r="B41" s="3">
        <v>46259.0</v>
      </c>
      <c r="C41" s="3">
        <v>46261.0</v>
      </c>
      <c r="D41" s="2" t="s">
        <v>9</v>
      </c>
      <c r="E41" s="2" t="s">
        <v>10</v>
      </c>
      <c r="F41" s="2" t="s">
        <v>23</v>
      </c>
      <c r="G41" s="2">
        <v>6.0</v>
      </c>
      <c r="H41" s="2">
        <v>6.0</v>
      </c>
    </row>
    <row r="42" ht="15.75" customHeight="1">
      <c r="A42" s="2" t="s">
        <v>59</v>
      </c>
      <c r="B42" s="3">
        <v>46261.0</v>
      </c>
      <c r="C42" s="3">
        <v>46264.0</v>
      </c>
      <c r="D42" s="2" t="s">
        <v>13</v>
      </c>
      <c r="E42" s="2" t="s">
        <v>14</v>
      </c>
      <c r="F42" s="2" t="s">
        <v>11</v>
      </c>
      <c r="G42" s="2">
        <v>12.0</v>
      </c>
      <c r="H42" s="2">
        <v>12.0</v>
      </c>
    </row>
    <row r="43" ht="15.75" customHeight="1">
      <c r="A43" s="2" t="s">
        <v>60</v>
      </c>
      <c r="B43" s="3">
        <v>46265.0</v>
      </c>
      <c r="C43" s="3">
        <v>46269.0</v>
      </c>
      <c r="D43" s="2" t="s">
        <v>17</v>
      </c>
      <c r="E43" s="2" t="s">
        <v>18</v>
      </c>
      <c r="F43" s="2" t="s">
        <v>15</v>
      </c>
      <c r="G43" s="2">
        <v>1.0</v>
      </c>
      <c r="H43" s="2">
        <v>1.0</v>
      </c>
    </row>
    <row r="44" ht="15.75" customHeight="1">
      <c r="A44" s="2" t="s">
        <v>61</v>
      </c>
      <c r="B44" s="3">
        <v>46265.0</v>
      </c>
      <c r="C44" s="3"/>
      <c r="D44" s="2" t="s">
        <v>9</v>
      </c>
      <c r="E44" s="2" t="s">
        <v>10</v>
      </c>
      <c r="F44" s="2" t="s">
        <v>19</v>
      </c>
      <c r="G44" s="2">
        <v>2.0</v>
      </c>
      <c r="H44" s="2">
        <v>2.0</v>
      </c>
    </row>
    <row r="45" ht="15.75" customHeight="1">
      <c r="A45" s="2" t="s">
        <v>62</v>
      </c>
      <c r="B45" s="3">
        <v>46238.0</v>
      </c>
      <c r="C45" s="3">
        <v>46245.0</v>
      </c>
      <c r="D45" s="2" t="s">
        <v>13</v>
      </c>
      <c r="E45" s="2" t="s">
        <v>14</v>
      </c>
      <c r="F45" s="2" t="s">
        <v>21</v>
      </c>
      <c r="G45" s="2">
        <v>3.0</v>
      </c>
      <c r="H45" s="2">
        <v>3.0</v>
      </c>
    </row>
    <row r="46" ht="15.75" customHeight="1">
      <c r="A46" s="2" t="s">
        <v>63</v>
      </c>
      <c r="B46" s="3">
        <v>46240.0</v>
      </c>
      <c r="C46" s="3">
        <v>46240.0</v>
      </c>
      <c r="D46" s="2" t="s">
        <v>17</v>
      </c>
      <c r="E46" s="2" t="s">
        <v>18</v>
      </c>
      <c r="F46" s="2" t="s">
        <v>23</v>
      </c>
      <c r="G46" s="2">
        <v>4.0</v>
      </c>
      <c r="H46" s="2">
        <v>4.0</v>
      </c>
    </row>
    <row r="47" ht="15.75" customHeight="1">
      <c r="A47" s="2" t="s">
        <v>64</v>
      </c>
      <c r="B47" s="3">
        <v>46244.0</v>
      </c>
      <c r="C47" s="3">
        <v>46245.0</v>
      </c>
      <c r="D47" s="2" t="s">
        <v>9</v>
      </c>
      <c r="E47" s="2" t="s">
        <v>10</v>
      </c>
      <c r="F47" s="2" t="s">
        <v>11</v>
      </c>
      <c r="G47" s="2">
        <v>6.0</v>
      </c>
      <c r="H47" s="2">
        <v>6.0</v>
      </c>
    </row>
    <row r="48" ht="15.75" customHeight="1">
      <c r="A48" s="2" t="s">
        <v>65</v>
      </c>
      <c r="B48" s="3">
        <v>46244.0</v>
      </c>
      <c r="C48" s="3">
        <v>46245.0</v>
      </c>
      <c r="D48" s="2" t="s">
        <v>13</v>
      </c>
      <c r="E48" s="2" t="s">
        <v>14</v>
      </c>
      <c r="F48" s="2" t="s">
        <v>15</v>
      </c>
      <c r="G48" s="2">
        <v>12.0</v>
      </c>
      <c r="H48" s="2">
        <v>12.0</v>
      </c>
    </row>
    <row r="49" ht="15.75" customHeight="1">
      <c r="A49" s="2" t="s">
        <v>66</v>
      </c>
      <c r="B49" s="3">
        <v>46246.0</v>
      </c>
      <c r="C49" s="3">
        <v>46248.0</v>
      </c>
      <c r="D49" s="2" t="s">
        <v>17</v>
      </c>
      <c r="E49" s="2" t="s">
        <v>18</v>
      </c>
      <c r="F49" s="2" t="s">
        <v>19</v>
      </c>
      <c r="G49" s="2">
        <v>1.0</v>
      </c>
      <c r="H49" s="2">
        <v>0.0</v>
      </c>
    </row>
    <row r="50" ht="15.75" customHeight="1">
      <c r="A50" s="2" t="s">
        <v>67</v>
      </c>
      <c r="B50" s="3">
        <v>46248.0</v>
      </c>
      <c r="C50" s="3">
        <v>46250.0</v>
      </c>
      <c r="D50" s="2" t="s">
        <v>9</v>
      </c>
      <c r="E50" s="2" t="s">
        <v>10</v>
      </c>
      <c r="F50" s="2" t="s">
        <v>21</v>
      </c>
      <c r="G50" s="2">
        <v>2.0</v>
      </c>
      <c r="H50" s="2">
        <v>2.0</v>
      </c>
    </row>
    <row r="51" ht="15.75" customHeight="1">
      <c r="A51" s="2" t="s">
        <v>68</v>
      </c>
      <c r="B51" s="3">
        <v>46251.0</v>
      </c>
      <c r="C51" s="3">
        <v>46254.0</v>
      </c>
      <c r="D51" s="2" t="s">
        <v>13</v>
      </c>
      <c r="E51" s="2" t="s">
        <v>14</v>
      </c>
      <c r="F51" s="2" t="s">
        <v>23</v>
      </c>
      <c r="G51" s="2">
        <v>3.0</v>
      </c>
      <c r="H51" s="2">
        <v>3.0</v>
      </c>
    </row>
    <row r="52" ht="15.75" customHeight="1">
      <c r="A52" s="2" t="s">
        <v>69</v>
      </c>
      <c r="B52" s="3">
        <v>46252.0</v>
      </c>
      <c r="C52" s="3">
        <v>46256.0</v>
      </c>
      <c r="D52" s="2" t="s">
        <v>17</v>
      </c>
      <c r="E52" s="2" t="s">
        <v>18</v>
      </c>
      <c r="F52" s="2" t="s">
        <v>11</v>
      </c>
      <c r="G52" s="2">
        <v>4.0</v>
      </c>
      <c r="H52" s="2">
        <v>4.0</v>
      </c>
    </row>
    <row r="53" ht="15.75" customHeight="1">
      <c r="A53" s="2" t="s">
        <v>70</v>
      </c>
      <c r="B53" s="3">
        <v>46254.0</v>
      </c>
      <c r="C53" s="3">
        <v>46259.0</v>
      </c>
      <c r="D53" s="2" t="s">
        <v>9</v>
      </c>
      <c r="E53" s="2" t="s">
        <v>10</v>
      </c>
      <c r="F53" s="2" t="s">
        <v>15</v>
      </c>
      <c r="G53" s="2">
        <v>6.0</v>
      </c>
      <c r="H53" s="2">
        <v>6.0</v>
      </c>
    </row>
    <row r="54" ht="15.75" customHeight="1">
      <c r="A54" s="2" t="s">
        <v>71</v>
      </c>
      <c r="B54" s="3">
        <v>46258.0</v>
      </c>
      <c r="C54" s="3">
        <v>46265.0</v>
      </c>
      <c r="D54" s="2" t="s">
        <v>13</v>
      </c>
      <c r="E54" s="2" t="s">
        <v>14</v>
      </c>
      <c r="F54" s="2" t="s">
        <v>19</v>
      </c>
      <c r="G54" s="2">
        <v>12.0</v>
      </c>
      <c r="H54" s="2">
        <v>12.0</v>
      </c>
    </row>
    <row r="55" ht="15.75" customHeight="1">
      <c r="A55" s="2" t="s">
        <v>72</v>
      </c>
      <c r="B55" s="3">
        <v>46258.0</v>
      </c>
      <c r="C55" s="3">
        <v>46258.0</v>
      </c>
      <c r="D55" s="2" t="s">
        <v>17</v>
      </c>
      <c r="E55" s="2" t="s">
        <v>18</v>
      </c>
      <c r="F55" s="2" t="s">
        <v>21</v>
      </c>
      <c r="G55" s="2">
        <v>1.0</v>
      </c>
      <c r="H55" s="2">
        <v>1.0</v>
      </c>
    </row>
    <row r="56" ht="15.75" customHeight="1">
      <c r="A56" s="2" t="s">
        <v>73</v>
      </c>
      <c r="B56" s="3">
        <v>46260.0</v>
      </c>
      <c r="C56" s="3">
        <v>46261.0</v>
      </c>
      <c r="D56" s="2" t="s">
        <v>9</v>
      </c>
      <c r="E56" s="2" t="s">
        <v>10</v>
      </c>
      <c r="F56" s="2" t="s">
        <v>23</v>
      </c>
      <c r="G56" s="2">
        <v>2.0</v>
      </c>
      <c r="H56" s="2">
        <v>2.0</v>
      </c>
    </row>
    <row r="57" ht="15.75" customHeight="1">
      <c r="A57" s="2" t="s">
        <v>74</v>
      </c>
      <c r="B57" s="3">
        <v>46262.0</v>
      </c>
      <c r="C57" s="3">
        <v>46263.0</v>
      </c>
      <c r="D57" s="2" t="s">
        <v>13</v>
      </c>
      <c r="E57" s="2" t="s">
        <v>14</v>
      </c>
      <c r="F57" s="2" t="s">
        <v>11</v>
      </c>
      <c r="G57" s="2">
        <v>3.0</v>
      </c>
      <c r="H57" s="2">
        <v>3.0</v>
      </c>
    </row>
    <row r="58" ht="15.75" customHeight="1">
      <c r="A58" s="2" t="s">
        <v>75</v>
      </c>
      <c r="B58" s="3">
        <v>46265.0</v>
      </c>
      <c r="C58" s="3">
        <v>46267.0</v>
      </c>
      <c r="D58" s="2" t="s">
        <v>17</v>
      </c>
      <c r="E58" s="2" t="s">
        <v>18</v>
      </c>
      <c r="F58" s="2" t="s">
        <v>15</v>
      </c>
      <c r="G58" s="2">
        <v>4.0</v>
      </c>
      <c r="H58" s="2">
        <v>4.0</v>
      </c>
    </row>
    <row r="59" ht="15.75" customHeight="1">
      <c r="A59" s="2" t="s">
        <v>76</v>
      </c>
      <c r="B59" s="3">
        <v>46237.0</v>
      </c>
      <c r="C59" s="3">
        <v>46239.0</v>
      </c>
      <c r="D59" s="2" t="s">
        <v>9</v>
      </c>
      <c r="E59" s="2" t="s">
        <v>10</v>
      </c>
      <c r="F59" s="2" t="s">
        <v>19</v>
      </c>
      <c r="G59" s="2">
        <v>6.0</v>
      </c>
      <c r="H59" s="2">
        <v>6.0</v>
      </c>
    </row>
    <row r="60" ht="15.75" customHeight="1">
      <c r="A60" s="2" t="s">
        <v>77</v>
      </c>
      <c r="B60" s="3">
        <v>46239.0</v>
      </c>
      <c r="C60" s="3">
        <v>46242.0</v>
      </c>
      <c r="D60" s="2" t="s">
        <v>13</v>
      </c>
      <c r="E60" s="2" t="s">
        <v>14</v>
      </c>
      <c r="F60" s="2" t="s">
        <v>21</v>
      </c>
      <c r="G60" s="2">
        <v>12.0</v>
      </c>
      <c r="H60" s="2">
        <v>12.0</v>
      </c>
    </row>
    <row r="61" ht="15.75" customHeight="1">
      <c r="A61" s="2" t="s">
        <v>78</v>
      </c>
      <c r="B61" s="3">
        <v>46241.0</v>
      </c>
      <c r="C61" s="3">
        <v>46245.0</v>
      </c>
      <c r="D61" s="2" t="s">
        <v>17</v>
      </c>
      <c r="E61" s="2" t="s">
        <v>18</v>
      </c>
      <c r="F61" s="2" t="s">
        <v>23</v>
      </c>
      <c r="G61" s="2">
        <v>1.0</v>
      </c>
      <c r="H61" s="2">
        <v>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25.0"/>
    <col customWidth="1" min="4" max="4" width="20.0"/>
    <col customWidth="1" min="5" max="5" width="62.0"/>
    <col customWidth="1" min="6" max="26" width="8.7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>
      <c r="A2" s="2" t="s">
        <v>84</v>
      </c>
      <c r="B2" s="2">
        <v>100.0</v>
      </c>
      <c r="C2" s="2">
        <v>100.0</v>
      </c>
      <c r="D2" s="2"/>
      <c r="E2" s="2" t="s">
        <v>85</v>
      </c>
    </row>
    <row r="3">
      <c r="A3" s="2" t="s">
        <v>86</v>
      </c>
      <c r="B3" s="2">
        <v>100.0</v>
      </c>
      <c r="C3" s="2">
        <v>96.0</v>
      </c>
      <c r="D3" s="4" t="s">
        <v>87</v>
      </c>
      <c r="E3" s="2" t="s">
        <v>88</v>
      </c>
    </row>
    <row r="4">
      <c r="A4" s="2" t="s">
        <v>89</v>
      </c>
      <c r="B4" s="2">
        <v>100.0</v>
      </c>
      <c r="C4" s="2">
        <v>100.0</v>
      </c>
      <c r="D4" s="2"/>
      <c r="E4" s="2" t="s">
        <v>85</v>
      </c>
    </row>
    <row r="5">
      <c r="A5" s="2" t="s">
        <v>90</v>
      </c>
      <c r="B5" s="2">
        <v>100.0</v>
      </c>
      <c r="C5" s="2">
        <v>96.0</v>
      </c>
      <c r="D5" s="4" t="s">
        <v>87</v>
      </c>
      <c r="E5" s="2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5" t="s">
        <v>91</v>
      </c>
    </row>
    <row r="2">
      <c r="A2" s="2"/>
    </row>
    <row r="3">
      <c r="A3" s="2" t="s">
        <v>92</v>
      </c>
    </row>
    <row r="4">
      <c r="A4" s="2" t="s">
        <v>93</v>
      </c>
    </row>
    <row r="5">
      <c r="A5" s="2"/>
    </row>
    <row r="6">
      <c r="A6" s="6" t="s">
        <v>94</v>
      </c>
    </row>
    <row r="7">
      <c r="A7" s="2" t="s">
        <v>95</v>
      </c>
    </row>
    <row r="8">
      <c r="A8" s="2" t="s">
        <v>96</v>
      </c>
    </row>
    <row r="9">
      <c r="A9" s="2" t="s">
        <v>97</v>
      </c>
    </row>
    <row r="10">
      <c r="A10" s="2" t="s">
        <v>98</v>
      </c>
    </row>
    <row r="11">
      <c r="A11" s="2"/>
    </row>
    <row r="12">
      <c r="A12" s="6" t="s">
        <v>99</v>
      </c>
    </row>
    <row r="13">
      <c r="A13" s="2" t="s">
        <v>100</v>
      </c>
    </row>
    <row r="14">
      <c r="A14" s="2" t="s">
        <v>101</v>
      </c>
    </row>
    <row r="15">
      <c r="A15" s="2" t="s">
        <v>102</v>
      </c>
    </row>
    <row r="16">
      <c r="A16" s="2" t="s">
        <v>103</v>
      </c>
    </row>
    <row r="17">
      <c r="A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3.0"/>
    <col customWidth="1" min="4" max="4" width="20.0"/>
    <col customWidth="1" min="5" max="5" width="16.0"/>
    <col customWidth="1" min="6" max="8" width="14.0"/>
    <col customWidth="1" min="9" max="9" width="19.29"/>
    <col customWidth="1" min="10" max="10" width="11.71"/>
    <col customWidth="1" min="11" max="11" width="12.71"/>
    <col customWidth="1" min="12" max="12" width="14.14"/>
    <col customWidth="1" min="13" max="13" width="12.57"/>
    <col customWidth="1" min="14" max="14" width="14.29"/>
    <col customWidth="1" min="15" max="25" width="8.71"/>
    <col customWidth="1" min="26" max="26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/>
    </row>
    <row r="2">
      <c r="A2" s="2" t="s">
        <v>8</v>
      </c>
      <c r="B2" s="3">
        <v>46239.0</v>
      </c>
      <c r="C2" s="3">
        <v>46240.0</v>
      </c>
      <c r="D2" s="2" t="s">
        <v>9</v>
      </c>
      <c r="E2" s="2" t="s">
        <v>10</v>
      </c>
      <c r="F2" s="2" t="s">
        <v>11</v>
      </c>
      <c r="G2" s="2">
        <v>2.0</v>
      </c>
      <c r="H2" s="2">
        <v>2.0</v>
      </c>
      <c r="I2" s="7">
        <f t="shared" ref="I2:I61" si="1">IF(C2="","",MAX(0,NETWORKDAYS(B2,C2)-1))</f>
        <v>1</v>
      </c>
      <c r="J2" s="7" t="str">
        <f t="shared" ref="J2:J61" si="2">IF(C2="","Missing Ship Date",IF(I2&gt;2,"Over SLA","Within SLA"))</f>
        <v>Within SLA</v>
      </c>
      <c r="K2" s="7">
        <f t="shared" ref="K2:K61" si="3">IF(J2="Over SLA",1,0)</f>
        <v>0</v>
      </c>
      <c r="L2" s="7" t="str">
        <f t="shared" ref="L2:L61" si="4">IF(C2="","Missing Ship Date","Ship Date Recorded")</f>
        <v>Ship Date Recorded</v>
      </c>
      <c r="M2" s="7">
        <f t="shared" ref="M2:M61" si="5">IF(OR(G2="",H2=""),"",H2-G2)</f>
        <v>0</v>
      </c>
      <c r="N2" s="7" t="str">
        <f t="shared" ref="N2:N61" si="6">IF(OR(G2="",H2=""),"Pending Verification",IF(C2="","Shipping Date Missing",IF(M2&lt;0,"Short Shipment",IF(M2&gt;0,"Over Shipment","Complete"))))</f>
        <v>Complete</v>
      </c>
    </row>
    <row r="3">
      <c r="A3" s="2" t="s">
        <v>12</v>
      </c>
      <c r="B3" s="3">
        <v>46241.0</v>
      </c>
      <c r="C3" s="3">
        <v>46242.0</v>
      </c>
      <c r="D3" s="2" t="s">
        <v>13</v>
      </c>
      <c r="E3" s="2" t="s">
        <v>14</v>
      </c>
      <c r="F3" s="2" t="s">
        <v>15</v>
      </c>
      <c r="G3" s="2">
        <v>3.0</v>
      </c>
      <c r="H3" s="2">
        <v>3.0</v>
      </c>
      <c r="I3" s="7">
        <f t="shared" si="1"/>
        <v>0</v>
      </c>
      <c r="J3" s="7" t="str">
        <f t="shared" si="2"/>
        <v>Within SLA</v>
      </c>
      <c r="K3" s="7">
        <f t="shared" si="3"/>
        <v>0</v>
      </c>
      <c r="L3" s="7" t="str">
        <f t="shared" si="4"/>
        <v>Ship Date Recorded</v>
      </c>
      <c r="M3" s="7">
        <f t="shared" si="5"/>
        <v>0</v>
      </c>
      <c r="N3" s="7" t="str">
        <f t="shared" si="6"/>
        <v>Complete</v>
      </c>
    </row>
    <row r="4">
      <c r="A4" s="2" t="s">
        <v>16</v>
      </c>
      <c r="B4" s="3">
        <v>46244.0</v>
      </c>
      <c r="C4" s="3">
        <v>46246.0</v>
      </c>
      <c r="D4" s="2" t="s">
        <v>17</v>
      </c>
      <c r="E4" s="2" t="s">
        <v>18</v>
      </c>
      <c r="F4" s="2" t="s">
        <v>19</v>
      </c>
      <c r="G4" s="2">
        <v>4.0</v>
      </c>
      <c r="H4" s="2">
        <v>4.0</v>
      </c>
      <c r="I4" s="7">
        <f t="shared" si="1"/>
        <v>2</v>
      </c>
      <c r="J4" s="7" t="str">
        <f t="shared" si="2"/>
        <v>Within SLA</v>
      </c>
      <c r="K4" s="7">
        <f t="shared" si="3"/>
        <v>0</v>
      </c>
      <c r="L4" s="7" t="str">
        <f t="shared" si="4"/>
        <v>Ship Date Recorded</v>
      </c>
      <c r="M4" s="7">
        <f t="shared" si="5"/>
        <v>0</v>
      </c>
      <c r="N4" s="7" t="str">
        <f t="shared" si="6"/>
        <v>Complete</v>
      </c>
    </row>
    <row r="5">
      <c r="A5" s="2" t="s">
        <v>20</v>
      </c>
      <c r="B5" s="3">
        <v>46245.0</v>
      </c>
      <c r="C5" s="3">
        <v>46247.0</v>
      </c>
      <c r="D5" s="2" t="s">
        <v>9</v>
      </c>
      <c r="E5" s="2" t="s">
        <v>10</v>
      </c>
      <c r="F5" s="2" t="s">
        <v>21</v>
      </c>
      <c r="G5" s="2">
        <v>6.0</v>
      </c>
      <c r="H5" s="2">
        <v>6.0</v>
      </c>
      <c r="I5" s="7">
        <f t="shared" si="1"/>
        <v>2</v>
      </c>
      <c r="J5" s="7" t="str">
        <f t="shared" si="2"/>
        <v>Within SLA</v>
      </c>
      <c r="K5" s="7">
        <f t="shared" si="3"/>
        <v>0</v>
      </c>
      <c r="L5" s="7" t="str">
        <f t="shared" si="4"/>
        <v>Ship Date Recorded</v>
      </c>
      <c r="M5" s="7">
        <f t="shared" si="5"/>
        <v>0</v>
      </c>
      <c r="N5" s="7" t="str">
        <f t="shared" si="6"/>
        <v>Complete</v>
      </c>
    </row>
    <row r="6">
      <c r="A6" s="2" t="s">
        <v>22</v>
      </c>
      <c r="B6" s="3">
        <v>46247.0</v>
      </c>
      <c r="C6" s="3">
        <v>46250.0</v>
      </c>
      <c r="D6" s="2" t="s">
        <v>13</v>
      </c>
      <c r="E6" s="2" t="s">
        <v>14</v>
      </c>
      <c r="F6" s="2" t="s">
        <v>23</v>
      </c>
      <c r="G6" s="2">
        <v>12.0</v>
      </c>
      <c r="H6" s="2">
        <v>12.0</v>
      </c>
      <c r="I6" s="7">
        <f t="shared" si="1"/>
        <v>1</v>
      </c>
      <c r="J6" s="7" t="str">
        <f t="shared" si="2"/>
        <v>Within SLA</v>
      </c>
      <c r="K6" s="7">
        <f t="shared" si="3"/>
        <v>0</v>
      </c>
      <c r="L6" s="7" t="str">
        <f t="shared" si="4"/>
        <v>Ship Date Recorded</v>
      </c>
      <c r="M6" s="7">
        <f t="shared" si="5"/>
        <v>0</v>
      </c>
      <c r="N6" s="7" t="str">
        <f t="shared" si="6"/>
        <v>Complete</v>
      </c>
    </row>
    <row r="7">
      <c r="A7" s="2" t="s">
        <v>24</v>
      </c>
      <c r="B7" s="3">
        <v>46251.0</v>
      </c>
      <c r="C7" s="3">
        <v>46255.0</v>
      </c>
      <c r="D7" s="2" t="s">
        <v>17</v>
      </c>
      <c r="E7" s="2" t="s">
        <v>18</v>
      </c>
      <c r="F7" s="2" t="s">
        <v>11</v>
      </c>
      <c r="G7" s="2">
        <v>1.0</v>
      </c>
      <c r="H7" s="2">
        <v>1.0</v>
      </c>
      <c r="I7" s="7">
        <f t="shared" si="1"/>
        <v>4</v>
      </c>
      <c r="J7" s="7" t="str">
        <f t="shared" si="2"/>
        <v>Over SLA</v>
      </c>
      <c r="K7" s="7">
        <f t="shared" si="3"/>
        <v>1</v>
      </c>
      <c r="L7" s="7" t="str">
        <f t="shared" si="4"/>
        <v>Ship Date Recorded</v>
      </c>
      <c r="M7" s="7">
        <f t="shared" si="5"/>
        <v>0</v>
      </c>
      <c r="N7" s="7" t="str">
        <f t="shared" si="6"/>
        <v>Complete</v>
      </c>
    </row>
    <row r="8">
      <c r="A8" s="2" t="s">
        <v>25</v>
      </c>
      <c r="B8" s="3">
        <v>46251.0</v>
      </c>
      <c r="C8" s="3">
        <v>46256.0</v>
      </c>
      <c r="D8" s="2" t="s">
        <v>9</v>
      </c>
      <c r="E8" s="2" t="s">
        <v>10</v>
      </c>
      <c r="F8" s="2" t="s">
        <v>15</v>
      </c>
      <c r="G8" s="2">
        <v>2.0</v>
      </c>
      <c r="H8" s="2">
        <v>1.0</v>
      </c>
      <c r="I8" s="7">
        <f t="shared" si="1"/>
        <v>4</v>
      </c>
      <c r="J8" s="7" t="str">
        <f t="shared" si="2"/>
        <v>Over SLA</v>
      </c>
      <c r="K8" s="7">
        <f t="shared" si="3"/>
        <v>1</v>
      </c>
      <c r="L8" s="7" t="str">
        <f t="shared" si="4"/>
        <v>Ship Date Recorded</v>
      </c>
      <c r="M8" s="7">
        <f t="shared" si="5"/>
        <v>-1</v>
      </c>
      <c r="N8" s="7" t="str">
        <f t="shared" si="6"/>
        <v>Short Shipment</v>
      </c>
    </row>
    <row r="9">
      <c r="A9" s="2" t="s">
        <v>26</v>
      </c>
      <c r="B9" s="3">
        <v>46253.0</v>
      </c>
      <c r="C9" s="3">
        <v>46260.0</v>
      </c>
      <c r="D9" s="2" t="s">
        <v>13</v>
      </c>
      <c r="E9" s="2" t="s">
        <v>14</v>
      </c>
      <c r="F9" s="2" t="s">
        <v>19</v>
      </c>
      <c r="G9" s="2">
        <v>3.0</v>
      </c>
      <c r="H9" s="2">
        <v>3.0</v>
      </c>
      <c r="I9" s="7">
        <f t="shared" si="1"/>
        <v>5</v>
      </c>
      <c r="J9" s="7" t="str">
        <f t="shared" si="2"/>
        <v>Over SLA</v>
      </c>
      <c r="K9" s="7">
        <f t="shared" si="3"/>
        <v>1</v>
      </c>
      <c r="L9" s="7" t="str">
        <f t="shared" si="4"/>
        <v>Ship Date Recorded</v>
      </c>
      <c r="M9" s="7">
        <f t="shared" si="5"/>
        <v>0</v>
      </c>
      <c r="N9" s="7" t="str">
        <f t="shared" si="6"/>
        <v>Complete</v>
      </c>
    </row>
    <row r="10">
      <c r="A10" s="2" t="s">
        <v>27</v>
      </c>
      <c r="B10" s="3">
        <v>46255.0</v>
      </c>
      <c r="C10" s="3">
        <v>46255.0</v>
      </c>
      <c r="D10" s="2" t="s">
        <v>17</v>
      </c>
      <c r="E10" s="2" t="s">
        <v>18</v>
      </c>
      <c r="F10" s="2" t="s">
        <v>21</v>
      </c>
      <c r="G10" s="2">
        <v>4.0</v>
      </c>
      <c r="H10" s="2">
        <v>4.0</v>
      </c>
      <c r="I10" s="7">
        <f t="shared" si="1"/>
        <v>0</v>
      </c>
      <c r="J10" s="7" t="str">
        <f t="shared" si="2"/>
        <v>Within SLA</v>
      </c>
      <c r="K10" s="7">
        <f t="shared" si="3"/>
        <v>0</v>
      </c>
      <c r="L10" s="7" t="str">
        <f t="shared" si="4"/>
        <v>Ship Date Recorded</v>
      </c>
      <c r="M10" s="7">
        <f t="shared" si="5"/>
        <v>0</v>
      </c>
      <c r="N10" s="7" t="str">
        <f t="shared" si="6"/>
        <v>Complete</v>
      </c>
    </row>
    <row r="11">
      <c r="A11" s="2" t="s">
        <v>28</v>
      </c>
      <c r="B11" s="3">
        <v>46258.0</v>
      </c>
      <c r="C11" s="3">
        <v>46259.0</v>
      </c>
      <c r="D11" s="2" t="s">
        <v>9</v>
      </c>
      <c r="E11" s="2" t="s">
        <v>10</v>
      </c>
      <c r="F11" s="2" t="s">
        <v>23</v>
      </c>
      <c r="G11" s="2">
        <v>6.0</v>
      </c>
      <c r="H11" s="2">
        <v>6.0</v>
      </c>
      <c r="I11" s="7">
        <f t="shared" si="1"/>
        <v>1</v>
      </c>
      <c r="J11" s="7" t="str">
        <f t="shared" si="2"/>
        <v>Within SLA</v>
      </c>
      <c r="K11" s="7">
        <f t="shared" si="3"/>
        <v>0</v>
      </c>
      <c r="L11" s="7" t="str">
        <f t="shared" si="4"/>
        <v>Ship Date Recorded</v>
      </c>
      <c r="M11" s="7">
        <f t="shared" si="5"/>
        <v>0</v>
      </c>
      <c r="N11" s="7" t="str">
        <f t="shared" si="6"/>
        <v>Complete</v>
      </c>
    </row>
    <row r="12">
      <c r="A12" s="2" t="s">
        <v>29</v>
      </c>
      <c r="B12" s="3">
        <v>46259.0</v>
      </c>
      <c r="C12" s="3"/>
      <c r="D12" s="2" t="s">
        <v>13</v>
      </c>
      <c r="E12" s="2" t="s">
        <v>14</v>
      </c>
      <c r="F12" s="2" t="s">
        <v>11</v>
      </c>
      <c r="G12" s="2">
        <v>12.0</v>
      </c>
      <c r="H12" s="2">
        <v>12.0</v>
      </c>
      <c r="I12" s="7" t="str">
        <f t="shared" si="1"/>
        <v/>
      </c>
      <c r="J12" s="7" t="str">
        <f t="shared" si="2"/>
        <v>Missing Ship Date</v>
      </c>
      <c r="K12" s="7">
        <f t="shared" si="3"/>
        <v>0</v>
      </c>
      <c r="L12" s="7" t="str">
        <f t="shared" si="4"/>
        <v>Missing Ship Date</v>
      </c>
      <c r="M12" s="7">
        <f t="shared" si="5"/>
        <v>0</v>
      </c>
      <c r="N12" s="7" t="str">
        <f t="shared" si="6"/>
        <v>Shipping Date Missing</v>
      </c>
    </row>
    <row r="13">
      <c r="A13" s="2" t="s">
        <v>30</v>
      </c>
      <c r="B13" s="3">
        <v>46261.0</v>
      </c>
      <c r="C13" s="3">
        <v>46263.0</v>
      </c>
      <c r="D13" s="2" t="s">
        <v>17</v>
      </c>
      <c r="E13" s="2" t="s">
        <v>18</v>
      </c>
      <c r="F13" s="2" t="s">
        <v>15</v>
      </c>
      <c r="G13" s="2">
        <v>1.0</v>
      </c>
      <c r="H13" s="2">
        <v>1.0</v>
      </c>
      <c r="I13" s="7">
        <f t="shared" si="1"/>
        <v>1</v>
      </c>
      <c r="J13" s="7" t="str">
        <f t="shared" si="2"/>
        <v>Within SLA</v>
      </c>
      <c r="K13" s="7">
        <f t="shared" si="3"/>
        <v>0</v>
      </c>
      <c r="L13" s="7" t="str">
        <f t="shared" si="4"/>
        <v>Ship Date Recorded</v>
      </c>
      <c r="M13" s="7">
        <f t="shared" si="5"/>
        <v>0</v>
      </c>
      <c r="N13" s="7" t="str">
        <f t="shared" si="6"/>
        <v>Complete</v>
      </c>
    </row>
    <row r="14">
      <c r="A14" s="2" t="s">
        <v>31</v>
      </c>
      <c r="B14" s="3">
        <v>46265.0</v>
      </c>
      <c r="C14" s="3">
        <v>46267.0</v>
      </c>
      <c r="D14" s="2" t="s">
        <v>9</v>
      </c>
      <c r="E14" s="2" t="s">
        <v>10</v>
      </c>
      <c r="F14" s="2" t="s">
        <v>19</v>
      </c>
      <c r="G14" s="2">
        <v>2.0</v>
      </c>
      <c r="H14" s="2">
        <v>2.0</v>
      </c>
      <c r="I14" s="7">
        <f t="shared" si="1"/>
        <v>2</v>
      </c>
      <c r="J14" s="7" t="str">
        <f t="shared" si="2"/>
        <v>Within SLA</v>
      </c>
      <c r="K14" s="7">
        <f t="shared" si="3"/>
        <v>0</v>
      </c>
      <c r="L14" s="7" t="str">
        <f t="shared" si="4"/>
        <v>Ship Date Recorded</v>
      </c>
      <c r="M14" s="7">
        <f t="shared" si="5"/>
        <v>0</v>
      </c>
      <c r="N14" s="7" t="str">
        <f t="shared" si="6"/>
        <v>Complete</v>
      </c>
    </row>
    <row r="15">
      <c r="A15" s="2" t="s">
        <v>32</v>
      </c>
      <c r="B15" s="3">
        <v>46265.0</v>
      </c>
      <c r="C15" s="3">
        <v>46268.0</v>
      </c>
      <c r="D15" s="2" t="s">
        <v>13</v>
      </c>
      <c r="E15" s="2" t="s">
        <v>14</v>
      </c>
      <c r="F15" s="2" t="s">
        <v>21</v>
      </c>
      <c r="G15" s="2">
        <v>3.0</v>
      </c>
      <c r="H15" s="2">
        <v>3.0</v>
      </c>
      <c r="I15" s="7">
        <f t="shared" si="1"/>
        <v>3</v>
      </c>
      <c r="J15" s="7" t="str">
        <f t="shared" si="2"/>
        <v>Over SLA</v>
      </c>
      <c r="K15" s="7">
        <f t="shared" si="3"/>
        <v>1</v>
      </c>
      <c r="L15" s="7" t="str">
        <f t="shared" si="4"/>
        <v>Ship Date Recorded</v>
      </c>
      <c r="M15" s="7">
        <f t="shared" si="5"/>
        <v>0</v>
      </c>
      <c r="N15" s="7" t="str">
        <f t="shared" si="6"/>
        <v>Complete</v>
      </c>
    </row>
    <row r="16">
      <c r="A16" s="2" t="s">
        <v>33</v>
      </c>
      <c r="B16" s="3">
        <v>46238.0</v>
      </c>
      <c r="C16" s="3">
        <v>46242.0</v>
      </c>
      <c r="D16" s="2" t="s">
        <v>17</v>
      </c>
      <c r="E16" s="2" t="s">
        <v>18</v>
      </c>
      <c r="F16" s="2" t="s">
        <v>23</v>
      </c>
      <c r="G16" s="2">
        <v>4.0</v>
      </c>
      <c r="H16" s="2">
        <v>4.0</v>
      </c>
      <c r="I16" s="7">
        <f t="shared" si="1"/>
        <v>3</v>
      </c>
      <c r="J16" s="7" t="str">
        <f t="shared" si="2"/>
        <v>Over SLA</v>
      </c>
      <c r="K16" s="7">
        <f t="shared" si="3"/>
        <v>1</v>
      </c>
      <c r="L16" s="7" t="str">
        <f t="shared" si="4"/>
        <v>Ship Date Recorded</v>
      </c>
      <c r="M16" s="7">
        <f t="shared" si="5"/>
        <v>0</v>
      </c>
      <c r="N16" s="7" t="str">
        <f t="shared" si="6"/>
        <v>Complete</v>
      </c>
    </row>
    <row r="17">
      <c r="A17" s="2" t="s">
        <v>34</v>
      </c>
      <c r="B17" s="3">
        <v>46240.0</v>
      </c>
      <c r="C17" s="3">
        <v>46245.0</v>
      </c>
      <c r="D17" s="2" t="s">
        <v>9</v>
      </c>
      <c r="E17" s="2" t="s">
        <v>10</v>
      </c>
      <c r="F17" s="2" t="s">
        <v>11</v>
      </c>
      <c r="G17" s="2">
        <v>6.0</v>
      </c>
      <c r="H17" s="2">
        <v>6.0</v>
      </c>
      <c r="I17" s="7">
        <f t="shared" si="1"/>
        <v>3</v>
      </c>
      <c r="J17" s="7" t="str">
        <f t="shared" si="2"/>
        <v>Over SLA</v>
      </c>
      <c r="K17" s="7">
        <f t="shared" si="3"/>
        <v>1</v>
      </c>
      <c r="L17" s="7" t="str">
        <f t="shared" si="4"/>
        <v>Ship Date Recorded</v>
      </c>
      <c r="M17" s="7">
        <f t="shared" si="5"/>
        <v>0</v>
      </c>
      <c r="N17" s="7" t="str">
        <f t="shared" si="6"/>
        <v>Complete</v>
      </c>
    </row>
    <row r="18">
      <c r="A18" s="2" t="s">
        <v>35</v>
      </c>
      <c r="B18" s="3">
        <v>46244.0</v>
      </c>
      <c r="C18" s="3">
        <v>46251.0</v>
      </c>
      <c r="D18" s="2" t="s">
        <v>13</v>
      </c>
      <c r="E18" s="2" t="s">
        <v>14</v>
      </c>
      <c r="F18" s="2" t="s">
        <v>15</v>
      </c>
      <c r="G18" s="2">
        <v>12.0</v>
      </c>
      <c r="H18" s="2">
        <v>12.0</v>
      </c>
      <c r="I18" s="7">
        <f t="shared" si="1"/>
        <v>5</v>
      </c>
      <c r="J18" s="7" t="str">
        <f t="shared" si="2"/>
        <v>Over SLA</v>
      </c>
      <c r="K18" s="7">
        <f t="shared" si="3"/>
        <v>1</v>
      </c>
      <c r="L18" s="7" t="str">
        <f t="shared" si="4"/>
        <v>Ship Date Recorded</v>
      </c>
      <c r="M18" s="7">
        <f t="shared" si="5"/>
        <v>0</v>
      </c>
      <c r="N18" s="7" t="str">
        <f t="shared" si="6"/>
        <v>Complete</v>
      </c>
    </row>
    <row r="19">
      <c r="A19" s="2" t="s">
        <v>36</v>
      </c>
      <c r="B19" s="3">
        <v>46244.0</v>
      </c>
      <c r="C19" s="3">
        <v>46244.0</v>
      </c>
      <c r="D19" s="2" t="s">
        <v>17</v>
      </c>
      <c r="E19" s="2" t="s">
        <v>18</v>
      </c>
      <c r="F19" s="2" t="s">
        <v>19</v>
      </c>
      <c r="G19" s="2">
        <v>1.0</v>
      </c>
      <c r="H19" s="2">
        <v>1.0</v>
      </c>
      <c r="I19" s="7">
        <f t="shared" si="1"/>
        <v>0</v>
      </c>
      <c r="J19" s="7" t="str">
        <f t="shared" si="2"/>
        <v>Within SLA</v>
      </c>
      <c r="K19" s="7">
        <f t="shared" si="3"/>
        <v>0</v>
      </c>
      <c r="L19" s="7" t="str">
        <f t="shared" si="4"/>
        <v>Ship Date Recorded</v>
      </c>
      <c r="M19" s="7">
        <f t="shared" si="5"/>
        <v>0</v>
      </c>
      <c r="N19" s="7" t="str">
        <f t="shared" si="6"/>
        <v>Complete</v>
      </c>
    </row>
    <row r="20">
      <c r="A20" s="2" t="s">
        <v>37</v>
      </c>
      <c r="B20" s="3">
        <v>46246.0</v>
      </c>
      <c r="C20" s="3">
        <v>46247.0</v>
      </c>
      <c r="D20" s="2" t="s">
        <v>9</v>
      </c>
      <c r="E20" s="2" t="s">
        <v>10</v>
      </c>
      <c r="F20" s="2" t="s">
        <v>21</v>
      </c>
      <c r="G20" s="2">
        <v>2.0</v>
      </c>
      <c r="H20" s="2">
        <v>1.0</v>
      </c>
      <c r="I20" s="7">
        <f t="shared" si="1"/>
        <v>1</v>
      </c>
      <c r="J20" s="7" t="str">
        <f t="shared" si="2"/>
        <v>Within SLA</v>
      </c>
      <c r="K20" s="7">
        <f t="shared" si="3"/>
        <v>0</v>
      </c>
      <c r="L20" s="7" t="str">
        <f t="shared" si="4"/>
        <v>Ship Date Recorded</v>
      </c>
      <c r="M20" s="7">
        <f t="shared" si="5"/>
        <v>-1</v>
      </c>
      <c r="N20" s="7" t="str">
        <f t="shared" si="6"/>
        <v>Short Shipment</v>
      </c>
    </row>
    <row r="21" ht="15.75" customHeight="1">
      <c r="A21" s="2" t="s">
        <v>38</v>
      </c>
      <c r="B21" s="3">
        <v>46248.0</v>
      </c>
      <c r="C21" s="3">
        <v>46249.0</v>
      </c>
      <c r="D21" s="2" t="s">
        <v>13</v>
      </c>
      <c r="E21" s="2" t="s">
        <v>14</v>
      </c>
      <c r="F21" s="2" t="s">
        <v>23</v>
      </c>
      <c r="G21" s="2">
        <v>3.0</v>
      </c>
      <c r="H21" s="2">
        <v>3.0</v>
      </c>
      <c r="I21" s="7">
        <f t="shared" si="1"/>
        <v>0</v>
      </c>
      <c r="J21" s="7" t="str">
        <f t="shared" si="2"/>
        <v>Within SLA</v>
      </c>
      <c r="K21" s="7">
        <f t="shared" si="3"/>
        <v>0</v>
      </c>
      <c r="L21" s="7" t="str">
        <f t="shared" si="4"/>
        <v>Ship Date Recorded</v>
      </c>
      <c r="M21" s="7">
        <f t="shared" si="5"/>
        <v>0</v>
      </c>
      <c r="N21" s="7" t="str">
        <f t="shared" si="6"/>
        <v>Complete</v>
      </c>
    </row>
    <row r="22" ht="15.75" customHeight="1">
      <c r="A22" s="2" t="s">
        <v>39</v>
      </c>
      <c r="B22" s="3">
        <v>46251.0</v>
      </c>
      <c r="C22" s="3">
        <v>46253.0</v>
      </c>
      <c r="D22" s="2" t="s">
        <v>17</v>
      </c>
      <c r="E22" s="2" t="s">
        <v>18</v>
      </c>
      <c r="F22" s="2" t="s">
        <v>11</v>
      </c>
      <c r="G22" s="2">
        <v>4.0</v>
      </c>
      <c r="H22" s="2">
        <v>4.0</v>
      </c>
      <c r="I22" s="7">
        <f t="shared" si="1"/>
        <v>2</v>
      </c>
      <c r="J22" s="7" t="str">
        <f t="shared" si="2"/>
        <v>Within SLA</v>
      </c>
      <c r="K22" s="7">
        <f t="shared" si="3"/>
        <v>0</v>
      </c>
      <c r="L22" s="7" t="str">
        <f t="shared" si="4"/>
        <v>Ship Date Recorded</v>
      </c>
      <c r="M22" s="7">
        <f t="shared" si="5"/>
        <v>0</v>
      </c>
      <c r="N22" s="7" t="str">
        <f t="shared" si="6"/>
        <v>Complete</v>
      </c>
    </row>
    <row r="23" ht="15.75" customHeight="1">
      <c r="A23" s="2" t="s">
        <v>40</v>
      </c>
      <c r="B23" s="3">
        <v>46252.0</v>
      </c>
      <c r="C23" s="3">
        <v>46254.0</v>
      </c>
      <c r="D23" s="2" t="s">
        <v>9</v>
      </c>
      <c r="E23" s="2" t="s">
        <v>10</v>
      </c>
      <c r="F23" s="2" t="s">
        <v>15</v>
      </c>
      <c r="G23" s="2">
        <v>6.0</v>
      </c>
      <c r="H23" s="2">
        <v>6.0</v>
      </c>
      <c r="I23" s="7">
        <f t="shared" si="1"/>
        <v>2</v>
      </c>
      <c r="J23" s="7" t="str">
        <f t="shared" si="2"/>
        <v>Within SLA</v>
      </c>
      <c r="K23" s="7">
        <f t="shared" si="3"/>
        <v>0</v>
      </c>
      <c r="L23" s="7" t="str">
        <f t="shared" si="4"/>
        <v>Ship Date Recorded</v>
      </c>
      <c r="M23" s="7">
        <f t="shared" si="5"/>
        <v>0</v>
      </c>
      <c r="N23" s="7" t="str">
        <f t="shared" si="6"/>
        <v>Complete</v>
      </c>
    </row>
    <row r="24" ht="15.75" customHeight="1">
      <c r="A24" s="2" t="s">
        <v>41</v>
      </c>
      <c r="B24" s="3">
        <v>46254.0</v>
      </c>
      <c r="C24" s="3">
        <v>46257.0</v>
      </c>
      <c r="D24" s="2" t="s">
        <v>13</v>
      </c>
      <c r="E24" s="2" t="s">
        <v>14</v>
      </c>
      <c r="F24" s="2" t="s">
        <v>19</v>
      </c>
      <c r="G24" s="2">
        <v>12.0</v>
      </c>
      <c r="H24" s="2">
        <v>12.0</v>
      </c>
      <c r="I24" s="7">
        <f t="shared" si="1"/>
        <v>1</v>
      </c>
      <c r="J24" s="7" t="str">
        <f t="shared" si="2"/>
        <v>Within SLA</v>
      </c>
      <c r="K24" s="7">
        <f t="shared" si="3"/>
        <v>0</v>
      </c>
      <c r="L24" s="7" t="str">
        <f t="shared" si="4"/>
        <v>Ship Date Recorded</v>
      </c>
      <c r="M24" s="7">
        <f t="shared" si="5"/>
        <v>0</v>
      </c>
      <c r="N24" s="7" t="str">
        <f t="shared" si="6"/>
        <v>Complete</v>
      </c>
    </row>
    <row r="25" ht="15.75" customHeight="1">
      <c r="A25" s="2" t="s">
        <v>42</v>
      </c>
      <c r="B25" s="3">
        <v>46258.0</v>
      </c>
      <c r="C25" s="3">
        <v>46262.0</v>
      </c>
      <c r="D25" s="2" t="s">
        <v>17</v>
      </c>
      <c r="E25" s="2" t="s">
        <v>18</v>
      </c>
      <c r="F25" s="2" t="s">
        <v>21</v>
      </c>
      <c r="G25" s="2">
        <v>1.0</v>
      </c>
      <c r="H25" s="2">
        <v>1.0</v>
      </c>
      <c r="I25" s="7">
        <f t="shared" si="1"/>
        <v>4</v>
      </c>
      <c r="J25" s="7" t="str">
        <f t="shared" si="2"/>
        <v>Over SLA</v>
      </c>
      <c r="K25" s="7">
        <f t="shared" si="3"/>
        <v>1</v>
      </c>
      <c r="L25" s="7" t="str">
        <f t="shared" si="4"/>
        <v>Ship Date Recorded</v>
      </c>
      <c r="M25" s="7">
        <f t="shared" si="5"/>
        <v>0</v>
      </c>
      <c r="N25" s="7" t="str">
        <f t="shared" si="6"/>
        <v>Complete</v>
      </c>
    </row>
    <row r="26" ht="15.75" customHeight="1">
      <c r="A26" s="2" t="s">
        <v>43</v>
      </c>
      <c r="B26" s="3">
        <v>46258.0</v>
      </c>
      <c r="C26" s="3">
        <v>46263.0</v>
      </c>
      <c r="D26" s="2" t="s">
        <v>9</v>
      </c>
      <c r="E26" s="2" t="s">
        <v>10</v>
      </c>
      <c r="F26" s="2" t="s">
        <v>23</v>
      </c>
      <c r="G26" s="2">
        <v>2.0</v>
      </c>
      <c r="H26" s="2">
        <v>2.0</v>
      </c>
      <c r="I26" s="7">
        <f t="shared" si="1"/>
        <v>4</v>
      </c>
      <c r="J26" s="7" t="str">
        <f t="shared" si="2"/>
        <v>Over SLA</v>
      </c>
      <c r="K26" s="7">
        <f t="shared" si="3"/>
        <v>1</v>
      </c>
      <c r="L26" s="7" t="str">
        <f t="shared" si="4"/>
        <v>Ship Date Recorded</v>
      </c>
      <c r="M26" s="7">
        <f t="shared" si="5"/>
        <v>0</v>
      </c>
      <c r="N26" s="7" t="str">
        <f t="shared" si="6"/>
        <v>Complete</v>
      </c>
    </row>
    <row r="27" ht="15.75" customHeight="1">
      <c r="A27" s="2" t="s">
        <v>44</v>
      </c>
      <c r="B27" s="3">
        <v>46260.0</v>
      </c>
      <c r="C27" s="3">
        <v>46267.0</v>
      </c>
      <c r="D27" s="2" t="s">
        <v>13</v>
      </c>
      <c r="E27" s="2" t="s">
        <v>14</v>
      </c>
      <c r="F27" s="2" t="s">
        <v>11</v>
      </c>
      <c r="G27" s="2">
        <v>3.0</v>
      </c>
      <c r="H27" s="2">
        <v>3.0</v>
      </c>
      <c r="I27" s="7">
        <f t="shared" si="1"/>
        <v>5</v>
      </c>
      <c r="J27" s="7" t="str">
        <f t="shared" si="2"/>
        <v>Over SLA</v>
      </c>
      <c r="K27" s="7">
        <f t="shared" si="3"/>
        <v>1</v>
      </c>
      <c r="L27" s="7" t="str">
        <f t="shared" si="4"/>
        <v>Ship Date Recorded</v>
      </c>
      <c r="M27" s="7">
        <f t="shared" si="5"/>
        <v>0</v>
      </c>
      <c r="N27" s="7" t="str">
        <f t="shared" si="6"/>
        <v>Complete</v>
      </c>
    </row>
    <row r="28" ht="15.75" customHeight="1">
      <c r="A28" s="2" t="s">
        <v>45</v>
      </c>
      <c r="B28" s="3">
        <v>46262.0</v>
      </c>
      <c r="C28" s="3"/>
      <c r="D28" s="2" t="s">
        <v>17</v>
      </c>
      <c r="E28" s="2" t="s">
        <v>18</v>
      </c>
      <c r="F28" s="2" t="s">
        <v>15</v>
      </c>
      <c r="G28" s="2">
        <v>4.0</v>
      </c>
      <c r="H28" s="2">
        <v>4.0</v>
      </c>
      <c r="I28" s="7" t="str">
        <f t="shared" si="1"/>
        <v/>
      </c>
      <c r="J28" s="7" t="str">
        <f t="shared" si="2"/>
        <v>Missing Ship Date</v>
      </c>
      <c r="K28" s="7">
        <f t="shared" si="3"/>
        <v>0</v>
      </c>
      <c r="L28" s="7" t="str">
        <f t="shared" si="4"/>
        <v>Missing Ship Date</v>
      </c>
      <c r="M28" s="7">
        <f t="shared" si="5"/>
        <v>0</v>
      </c>
      <c r="N28" s="7" t="str">
        <f t="shared" si="6"/>
        <v>Shipping Date Missing</v>
      </c>
    </row>
    <row r="29" ht="15.75" customHeight="1">
      <c r="A29" s="2" t="s">
        <v>46</v>
      </c>
      <c r="B29" s="3">
        <v>46265.0</v>
      </c>
      <c r="C29" s="3">
        <v>46266.0</v>
      </c>
      <c r="D29" s="2" t="s">
        <v>9</v>
      </c>
      <c r="E29" s="2" t="s">
        <v>10</v>
      </c>
      <c r="F29" s="2" t="s">
        <v>19</v>
      </c>
      <c r="G29" s="2">
        <v>6.0</v>
      </c>
      <c r="H29" s="2">
        <v>6.0</v>
      </c>
      <c r="I29" s="7">
        <f t="shared" si="1"/>
        <v>1</v>
      </c>
      <c r="J29" s="7" t="str">
        <f t="shared" si="2"/>
        <v>Within SLA</v>
      </c>
      <c r="K29" s="7">
        <f t="shared" si="3"/>
        <v>0</v>
      </c>
      <c r="L29" s="7" t="str">
        <f t="shared" si="4"/>
        <v>Ship Date Recorded</v>
      </c>
      <c r="M29" s="7">
        <f t="shared" si="5"/>
        <v>0</v>
      </c>
      <c r="N29" s="7" t="str">
        <f t="shared" si="6"/>
        <v>Complete</v>
      </c>
    </row>
    <row r="30" ht="15.75" customHeight="1">
      <c r="A30" s="2" t="s">
        <v>47</v>
      </c>
      <c r="B30" s="3">
        <v>46237.0</v>
      </c>
      <c r="C30" s="3">
        <v>46238.0</v>
      </c>
      <c r="D30" s="2" t="s">
        <v>13</v>
      </c>
      <c r="E30" s="2" t="s">
        <v>14</v>
      </c>
      <c r="F30" s="2" t="s">
        <v>21</v>
      </c>
      <c r="G30" s="2">
        <v>12.0</v>
      </c>
      <c r="H30" s="2">
        <v>12.0</v>
      </c>
      <c r="I30" s="7">
        <f t="shared" si="1"/>
        <v>1</v>
      </c>
      <c r="J30" s="7" t="str">
        <f t="shared" si="2"/>
        <v>Within SLA</v>
      </c>
      <c r="K30" s="7">
        <f t="shared" si="3"/>
        <v>0</v>
      </c>
      <c r="L30" s="7" t="str">
        <f t="shared" si="4"/>
        <v>Ship Date Recorded</v>
      </c>
      <c r="M30" s="7">
        <f t="shared" si="5"/>
        <v>0</v>
      </c>
      <c r="N30" s="7" t="str">
        <f t="shared" si="6"/>
        <v>Complete</v>
      </c>
    </row>
    <row r="31" ht="15.75" customHeight="1">
      <c r="A31" s="2" t="s">
        <v>48</v>
      </c>
      <c r="B31" s="3">
        <v>46239.0</v>
      </c>
      <c r="C31" s="3">
        <v>46241.0</v>
      </c>
      <c r="D31" s="2" t="s">
        <v>17</v>
      </c>
      <c r="E31" s="2" t="s">
        <v>18</v>
      </c>
      <c r="F31" s="2" t="s">
        <v>23</v>
      </c>
      <c r="G31" s="2">
        <v>1.0</v>
      </c>
      <c r="H31" s="2">
        <v>1.0</v>
      </c>
      <c r="I31" s="7">
        <f t="shared" si="1"/>
        <v>2</v>
      </c>
      <c r="J31" s="7" t="str">
        <f t="shared" si="2"/>
        <v>Within SLA</v>
      </c>
      <c r="K31" s="7">
        <f t="shared" si="3"/>
        <v>0</v>
      </c>
      <c r="L31" s="7" t="str">
        <f t="shared" si="4"/>
        <v>Ship Date Recorded</v>
      </c>
      <c r="M31" s="7">
        <f t="shared" si="5"/>
        <v>0</v>
      </c>
      <c r="N31" s="7" t="str">
        <f t="shared" si="6"/>
        <v>Complete</v>
      </c>
    </row>
    <row r="32" ht="15.75" customHeight="1">
      <c r="A32" s="2" t="s">
        <v>49</v>
      </c>
      <c r="B32" s="3">
        <v>46241.0</v>
      </c>
      <c r="C32" s="3">
        <v>46243.0</v>
      </c>
      <c r="D32" s="2" t="s">
        <v>9</v>
      </c>
      <c r="E32" s="2" t="s">
        <v>10</v>
      </c>
      <c r="F32" s="2" t="s">
        <v>11</v>
      </c>
      <c r="G32" s="2">
        <v>2.0</v>
      </c>
      <c r="H32" s="2">
        <v>2.0</v>
      </c>
      <c r="I32" s="7">
        <f t="shared" si="1"/>
        <v>0</v>
      </c>
      <c r="J32" s="7" t="str">
        <f t="shared" si="2"/>
        <v>Within SLA</v>
      </c>
      <c r="K32" s="7">
        <f t="shared" si="3"/>
        <v>0</v>
      </c>
      <c r="L32" s="7" t="str">
        <f t="shared" si="4"/>
        <v>Ship Date Recorded</v>
      </c>
      <c r="M32" s="7">
        <f t="shared" si="5"/>
        <v>0</v>
      </c>
      <c r="N32" s="7" t="str">
        <f t="shared" si="6"/>
        <v>Complete</v>
      </c>
    </row>
    <row r="33" ht="15.75" customHeight="1">
      <c r="A33" s="2" t="s">
        <v>50</v>
      </c>
      <c r="B33" s="3">
        <v>46244.0</v>
      </c>
      <c r="C33" s="3">
        <v>46247.0</v>
      </c>
      <c r="D33" s="2" t="s">
        <v>13</v>
      </c>
      <c r="E33" s="2" t="s">
        <v>14</v>
      </c>
      <c r="F33" s="2" t="s">
        <v>15</v>
      </c>
      <c r="G33" s="2">
        <v>3.0</v>
      </c>
      <c r="H33" s="2">
        <v>3.0</v>
      </c>
      <c r="I33" s="7">
        <f t="shared" si="1"/>
        <v>3</v>
      </c>
      <c r="J33" s="7" t="str">
        <f t="shared" si="2"/>
        <v>Over SLA</v>
      </c>
      <c r="K33" s="7">
        <f t="shared" si="3"/>
        <v>1</v>
      </c>
      <c r="L33" s="7" t="str">
        <f t="shared" si="4"/>
        <v>Ship Date Recorded</v>
      </c>
      <c r="M33" s="7">
        <f t="shared" si="5"/>
        <v>0</v>
      </c>
      <c r="N33" s="7" t="str">
        <f t="shared" si="6"/>
        <v>Complete</v>
      </c>
    </row>
    <row r="34" ht="15.75" customHeight="1">
      <c r="A34" s="2" t="s">
        <v>51</v>
      </c>
      <c r="B34" s="3">
        <v>46245.0</v>
      </c>
      <c r="C34" s="3">
        <v>46249.0</v>
      </c>
      <c r="D34" s="2" t="s">
        <v>17</v>
      </c>
      <c r="E34" s="2" t="s">
        <v>18</v>
      </c>
      <c r="F34" s="2" t="s">
        <v>19</v>
      </c>
      <c r="G34" s="2">
        <v>4.0</v>
      </c>
      <c r="H34" s="2">
        <v>4.0</v>
      </c>
      <c r="I34" s="7">
        <f t="shared" si="1"/>
        <v>3</v>
      </c>
      <c r="J34" s="7" t="str">
        <f t="shared" si="2"/>
        <v>Over SLA</v>
      </c>
      <c r="K34" s="7">
        <f t="shared" si="3"/>
        <v>1</v>
      </c>
      <c r="L34" s="7" t="str">
        <f t="shared" si="4"/>
        <v>Ship Date Recorded</v>
      </c>
      <c r="M34" s="7">
        <f t="shared" si="5"/>
        <v>0</v>
      </c>
      <c r="N34" s="7" t="str">
        <f t="shared" si="6"/>
        <v>Complete</v>
      </c>
    </row>
    <row r="35" ht="15.75" customHeight="1">
      <c r="A35" s="2" t="s">
        <v>52</v>
      </c>
      <c r="B35" s="3">
        <v>46247.0</v>
      </c>
      <c r="C35" s="3">
        <v>46252.0</v>
      </c>
      <c r="D35" s="2" t="s">
        <v>9</v>
      </c>
      <c r="E35" s="2" t="s">
        <v>10</v>
      </c>
      <c r="F35" s="2" t="s">
        <v>21</v>
      </c>
      <c r="G35" s="2">
        <v>6.0</v>
      </c>
      <c r="H35" s="2">
        <v>5.0</v>
      </c>
      <c r="I35" s="7">
        <f t="shared" si="1"/>
        <v>3</v>
      </c>
      <c r="J35" s="7" t="str">
        <f t="shared" si="2"/>
        <v>Over SLA</v>
      </c>
      <c r="K35" s="7">
        <f t="shared" si="3"/>
        <v>1</v>
      </c>
      <c r="L35" s="7" t="str">
        <f t="shared" si="4"/>
        <v>Ship Date Recorded</v>
      </c>
      <c r="M35" s="7">
        <f t="shared" si="5"/>
        <v>-1</v>
      </c>
      <c r="N35" s="7" t="str">
        <f t="shared" si="6"/>
        <v>Short Shipment</v>
      </c>
    </row>
    <row r="36" ht="15.75" customHeight="1">
      <c r="A36" s="2" t="s">
        <v>53</v>
      </c>
      <c r="B36" s="3">
        <v>46251.0</v>
      </c>
      <c r="C36" s="3">
        <v>46258.0</v>
      </c>
      <c r="D36" s="2" t="s">
        <v>13</v>
      </c>
      <c r="E36" s="2" t="s">
        <v>14</v>
      </c>
      <c r="F36" s="2" t="s">
        <v>23</v>
      </c>
      <c r="G36" s="2">
        <v>12.0</v>
      </c>
      <c r="H36" s="2">
        <v>12.0</v>
      </c>
      <c r="I36" s="7">
        <f t="shared" si="1"/>
        <v>5</v>
      </c>
      <c r="J36" s="7" t="str">
        <f t="shared" si="2"/>
        <v>Over SLA</v>
      </c>
      <c r="K36" s="7">
        <f t="shared" si="3"/>
        <v>1</v>
      </c>
      <c r="L36" s="7" t="str">
        <f t="shared" si="4"/>
        <v>Ship Date Recorded</v>
      </c>
      <c r="M36" s="7">
        <f t="shared" si="5"/>
        <v>0</v>
      </c>
      <c r="N36" s="7" t="str">
        <f t="shared" si="6"/>
        <v>Complete</v>
      </c>
    </row>
    <row r="37" ht="15.75" customHeight="1">
      <c r="A37" s="2" t="s">
        <v>54</v>
      </c>
      <c r="B37" s="3">
        <v>46251.0</v>
      </c>
      <c r="C37" s="3">
        <v>46251.0</v>
      </c>
      <c r="D37" s="2" t="s">
        <v>17</v>
      </c>
      <c r="E37" s="2" t="s">
        <v>18</v>
      </c>
      <c r="F37" s="2" t="s">
        <v>11</v>
      </c>
      <c r="G37" s="2">
        <v>1.0</v>
      </c>
      <c r="H37" s="2">
        <v>1.0</v>
      </c>
      <c r="I37" s="7">
        <f t="shared" si="1"/>
        <v>0</v>
      </c>
      <c r="J37" s="7" t="str">
        <f t="shared" si="2"/>
        <v>Within SLA</v>
      </c>
      <c r="K37" s="7">
        <f t="shared" si="3"/>
        <v>0</v>
      </c>
      <c r="L37" s="7" t="str">
        <f t="shared" si="4"/>
        <v>Ship Date Recorded</v>
      </c>
      <c r="M37" s="7">
        <f t="shared" si="5"/>
        <v>0</v>
      </c>
      <c r="N37" s="7" t="str">
        <f t="shared" si="6"/>
        <v>Complete</v>
      </c>
    </row>
    <row r="38" ht="15.75" customHeight="1">
      <c r="A38" s="2" t="s">
        <v>55</v>
      </c>
      <c r="B38" s="3">
        <v>46253.0</v>
      </c>
      <c r="C38" s="3">
        <v>46254.0</v>
      </c>
      <c r="D38" s="2" t="s">
        <v>9</v>
      </c>
      <c r="E38" s="2" t="s">
        <v>10</v>
      </c>
      <c r="F38" s="2" t="s">
        <v>15</v>
      </c>
      <c r="G38" s="2">
        <v>2.0</v>
      </c>
      <c r="H38" s="2">
        <v>2.0</v>
      </c>
      <c r="I38" s="7">
        <f t="shared" si="1"/>
        <v>1</v>
      </c>
      <c r="J38" s="7" t="str">
        <f t="shared" si="2"/>
        <v>Within SLA</v>
      </c>
      <c r="K38" s="7">
        <f t="shared" si="3"/>
        <v>0</v>
      </c>
      <c r="L38" s="7" t="str">
        <f t="shared" si="4"/>
        <v>Ship Date Recorded</v>
      </c>
      <c r="M38" s="7">
        <f t="shared" si="5"/>
        <v>0</v>
      </c>
      <c r="N38" s="7" t="str">
        <f t="shared" si="6"/>
        <v>Complete</v>
      </c>
    </row>
    <row r="39" ht="15.75" customHeight="1">
      <c r="A39" s="2" t="s">
        <v>56</v>
      </c>
      <c r="B39" s="3">
        <v>46255.0</v>
      </c>
      <c r="C39" s="3">
        <v>46256.0</v>
      </c>
      <c r="D39" s="2" t="s">
        <v>13</v>
      </c>
      <c r="E39" s="2" t="s">
        <v>14</v>
      </c>
      <c r="F39" s="2" t="s">
        <v>19</v>
      </c>
      <c r="G39" s="2">
        <v>3.0</v>
      </c>
      <c r="H39" s="2">
        <v>3.0</v>
      </c>
      <c r="I39" s="7">
        <f t="shared" si="1"/>
        <v>0</v>
      </c>
      <c r="J39" s="7" t="str">
        <f t="shared" si="2"/>
        <v>Within SLA</v>
      </c>
      <c r="K39" s="7">
        <f t="shared" si="3"/>
        <v>0</v>
      </c>
      <c r="L39" s="7" t="str">
        <f t="shared" si="4"/>
        <v>Ship Date Recorded</v>
      </c>
      <c r="M39" s="7">
        <f t="shared" si="5"/>
        <v>0</v>
      </c>
      <c r="N39" s="7" t="str">
        <f t="shared" si="6"/>
        <v>Complete</v>
      </c>
    </row>
    <row r="40" ht="15.75" customHeight="1">
      <c r="A40" s="2" t="s">
        <v>57</v>
      </c>
      <c r="B40" s="3">
        <v>46258.0</v>
      </c>
      <c r="C40" s="3">
        <v>46260.0</v>
      </c>
      <c r="D40" s="2" t="s">
        <v>17</v>
      </c>
      <c r="E40" s="2" t="s">
        <v>18</v>
      </c>
      <c r="F40" s="2" t="s">
        <v>21</v>
      </c>
      <c r="G40" s="2">
        <v>4.0</v>
      </c>
      <c r="H40" s="2">
        <v>4.0</v>
      </c>
      <c r="I40" s="7">
        <f t="shared" si="1"/>
        <v>2</v>
      </c>
      <c r="J40" s="7" t="str">
        <f t="shared" si="2"/>
        <v>Within SLA</v>
      </c>
      <c r="K40" s="7">
        <f t="shared" si="3"/>
        <v>0</v>
      </c>
      <c r="L40" s="7" t="str">
        <f t="shared" si="4"/>
        <v>Ship Date Recorded</v>
      </c>
      <c r="M40" s="7">
        <f t="shared" si="5"/>
        <v>0</v>
      </c>
      <c r="N40" s="7" t="str">
        <f t="shared" si="6"/>
        <v>Complete</v>
      </c>
    </row>
    <row r="41" ht="15.75" customHeight="1">
      <c r="A41" s="2" t="s">
        <v>58</v>
      </c>
      <c r="B41" s="3">
        <v>46259.0</v>
      </c>
      <c r="C41" s="3">
        <v>46261.0</v>
      </c>
      <c r="D41" s="2" t="s">
        <v>9</v>
      </c>
      <c r="E41" s="2" t="s">
        <v>10</v>
      </c>
      <c r="F41" s="2" t="s">
        <v>23</v>
      </c>
      <c r="G41" s="2">
        <v>6.0</v>
      </c>
      <c r="H41" s="2">
        <v>6.0</v>
      </c>
      <c r="I41" s="7">
        <f t="shared" si="1"/>
        <v>2</v>
      </c>
      <c r="J41" s="7" t="str">
        <f t="shared" si="2"/>
        <v>Within SLA</v>
      </c>
      <c r="K41" s="7">
        <f t="shared" si="3"/>
        <v>0</v>
      </c>
      <c r="L41" s="7" t="str">
        <f t="shared" si="4"/>
        <v>Ship Date Recorded</v>
      </c>
      <c r="M41" s="7">
        <f t="shared" si="5"/>
        <v>0</v>
      </c>
      <c r="N41" s="7" t="str">
        <f t="shared" si="6"/>
        <v>Complete</v>
      </c>
    </row>
    <row r="42" ht="15.75" customHeight="1">
      <c r="A42" s="2" t="s">
        <v>59</v>
      </c>
      <c r="B42" s="3">
        <v>46261.0</v>
      </c>
      <c r="C42" s="3">
        <v>46264.0</v>
      </c>
      <c r="D42" s="2" t="s">
        <v>13</v>
      </c>
      <c r="E42" s="2" t="s">
        <v>14</v>
      </c>
      <c r="F42" s="2" t="s">
        <v>11</v>
      </c>
      <c r="G42" s="2">
        <v>12.0</v>
      </c>
      <c r="H42" s="2">
        <v>12.0</v>
      </c>
      <c r="I42" s="7">
        <f t="shared" si="1"/>
        <v>1</v>
      </c>
      <c r="J42" s="7" t="str">
        <f t="shared" si="2"/>
        <v>Within SLA</v>
      </c>
      <c r="K42" s="7">
        <f t="shared" si="3"/>
        <v>0</v>
      </c>
      <c r="L42" s="7" t="str">
        <f t="shared" si="4"/>
        <v>Ship Date Recorded</v>
      </c>
      <c r="M42" s="7">
        <f t="shared" si="5"/>
        <v>0</v>
      </c>
      <c r="N42" s="7" t="str">
        <f t="shared" si="6"/>
        <v>Complete</v>
      </c>
    </row>
    <row r="43" ht="15.75" customHeight="1">
      <c r="A43" s="2" t="s">
        <v>60</v>
      </c>
      <c r="B43" s="3">
        <v>46265.0</v>
      </c>
      <c r="C43" s="3">
        <v>46269.0</v>
      </c>
      <c r="D43" s="2" t="s">
        <v>17</v>
      </c>
      <c r="E43" s="2" t="s">
        <v>18</v>
      </c>
      <c r="F43" s="2" t="s">
        <v>15</v>
      </c>
      <c r="G43" s="2">
        <v>1.0</v>
      </c>
      <c r="H43" s="2">
        <v>1.0</v>
      </c>
      <c r="I43" s="7">
        <f t="shared" si="1"/>
        <v>4</v>
      </c>
      <c r="J43" s="7" t="str">
        <f t="shared" si="2"/>
        <v>Over SLA</v>
      </c>
      <c r="K43" s="7">
        <f t="shared" si="3"/>
        <v>1</v>
      </c>
      <c r="L43" s="7" t="str">
        <f t="shared" si="4"/>
        <v>Ship Date Recorded</v>
      </c>
      <c r="M43" s="7">
        <f t="shared" si="5"/>
        <v>0</v>
      </c>
      <c r="N43" s="7" t="str">
        <f t="shared" si="6"/>
        <v>Complete</v>
      </c>
    </row>
    <row r="44" ht="15.75" customHeight="1">
      <c r="A44" s="2" t="s">
        <v>61</v>
      </c>
      <c r="B44" s="3">
        <v>46265.0</v>
      </c>
      <c r="C44" s="3"/>
      <c r="D44" s="2" t="s">
        <v>9</v>
      </c>
      <c r="E44" s="2" t="s">
        <v>10</v>
      </c>
      <c r="F44" s="2" t="s">
        <v>19</v>
      </c>
      <c r="G44" s="2">
        <v>2.0</v>
      </c>
      <c r="H44" s="2">
        <v>2.0</v>
      </c>
      <c r="I44" s="7" t="str">
        <f t="shared" si="1"/>
        <v/>
      </c>
      <c r="J44" s="7" t="str">
        <f t="shared" si="2"/>
        <v>Missing Ship Date</v>
      </c>
      <c r="K44" s="7">
        <f t="shared" si="3"/>
        <v>0</v>
      </c>
      <c r="L44" s="7" t="str">
        <f t="shared" si="4"/>
        <v>Missing Ship Date</v>
      </c>
      <c r="M44" s="7">
        <f t="shared" si="5"/>
        <v>0</v>
      </c>
      <c r="N44" s="7" t="str">
        <f t="shared" si="6"/>
        <v>Shipping Date Missing</v>
      </c>
    </row>
    <row r="45" ht="15.75" customHeight="1">
      <c r="A45" s="2" t="s">
        <v>62</v>
      </c>
      <c r="B45" s="3">
        <v>46238.0</v>
      </c>
      <c r="C45" s="3">
        <v>46245.0</v>
      </c>
      <c r="D45" s="2" t="s">
        <v>13</v>
      </c>
      <c r="E45" s="2" t="s">
        <v>14</v>
      </c>
      <c r="F45" s="2" t="s">
        <v>21</v>
      </c>
      <c r="G45" s="2">
        <v>3.0</v>
      </c>
      <c r="H45" s="2">
        <v>3.0</v>
      </c>
      <c r="I45" s="7">
        <f t="shared" si="1"/>
        <v>5</v>
      </c>
      <c r="J45" s="7" t="str">
        <f t="shared" si="2"/>
        <v>Over SLA</v>
      </c>
      <c r="K45" s="7">
        <f t="shared" si="3"/>
        <v>1</v>
      </c>
      <c r="L45" s="7" t="str">
        <f t="shared" si="4"/>
        <v>Ship Date Recorded</v>
      </c>
      <c r="M45" s="7">
        <f t="shared" si="5"/>
        <v>0</v>
      </c>
      <c r="N45" s="7" t="str">
        <f t="shared" si="6"/>
        <v>Complete</v>
      </c>
    </row>
    <row r="46" ht="15.75" customHeight="1">
      <c r="A46" s="2" t="s">
        <v>63</v>
      </c>
      <c r="B46" s="3">
        <v>46240.0</v>
      </c>
      <c r="C46" s="3">
        <v>46240.0</v>
      </c>
      <c r="D46" s="2" t="s">
        <v>17</v>
      </c>
      <c r="E46" s="2" t="s">
        <v>18</v>
      </c>
      <c r="F46" s="2" t="s">
        <v>23</v>
      </c>
      <c r="G46" s="2">
        <v>4.0</v>
      </c>
      <c r="H46" s="2">
        <v>4.0</v>
      </c>
      <c r="I46" s="7">
        <f t="shared" si="1"/>
        <v>0</v>
      </c>
      <c r="J46" s="7" t="str">
        <f t="shared" si="2"/>
        <v>Within SLA</v>
      </c>
      <c r="K46" s="7">
        <f t="shared" si="3"/>
        <v>0</v>
      </c>
      <c r="L46" s="7" t="str">
        <f t="shared" si="4"/>
        <v>Ship Date Recorded</v>
      </c>
      <c r="M46" s="7">
        <f t="shared" si="5"/>
        <v>0</v>
      </c>
      <c r="N46" s="7" t="str">
        <f t="shared" si="6"/>
        <v>Complete</v>
      </c>
    </row>
    <row r="47" ht="15.75" customHeight="1">
      <c r="A47" s="2" t="s">
        <v>64</v>
      </c>
      <c r="B47" s="3">
        <v>46244.0</v>
      </c>
      <c r="C47" s="3">
        <v>46245.0</v>
      </c>
      <c r="D47" s="2" t="s">
        <v>9</v>
      </c>
      <c r="E47" s="2" t="s">
        <v>10</v>
      </c>
      <c r="F47" s="2" t="s">
        <v>11</v>
      </c>
      <c r="G47" s="2">
        <v>6.0</v>
      </c>
      <c r="H47" s="2">
        <v>6.0</v>
      </c>
      <c r="I47" s="7">
        <f t="shared" si="1"/>
        <v>1</v>
      </c>
      <c r="J47" s="7" t="str">
        <f t="shared" si="2"/>
        <v>Within SLA</v>
      </c>
      <c r="K47" s="7">
        <f t="shared" si="3"/>
        <v>0</v>
      </c>
      <c r="L47" s="7" t="str">
        <f t="shared" si="4"/>
        <v>Ship Date Recorded</v>
      </c>
      <c r="M47" s="7">
        <f t="shared" si="5"/>
        <v>0</v>
      </c>
      <c r="N47" s="7" t="str">
        <f t="shared" si="6"/>
        <v>Complete</v>
      </c>
    </row>
    <row r="48" ht="15.75" customHeight="1">
      <c r="A48" s="2" t="s">
        <v>65</v>
      </c>
      <c r="B48" s="3">
        <v>46244.0</v>
      </c>
      <c r="C48" s="3">
        <v>46245.0</v>
      </c>
      <c r="D48" s="2" t="s">
        <v>13</v>
      </c>
      <c r="E48" s="2" t="s">
        <v>14</v>
      </c>
      <c r="F48" s="2" t="s">
        <v>15</v>
      </c>
      <c r="G48" s="2">
        <v>12.0</v>
      </c>
      <c r="H48" s="2">
        <v>12.0</v>
      </c>
      <c r="I48" s="7">
        <f t="shared" si="1"/>
        <v>1</v>
      </c>
      <c r="J48" s="7" t="str">
        <f t="shared" si="2"/>
        <v>Within SLA</v>
      </c>
      <c r="K48" s="7">
        <f t="shared" si="3"/>
        <v>0</v>
      </c>
      <c r="L48" s="7" t="str">
        <f t="shared" si="4"/>
        <v>Ship Date Recorded</v>
      </c>
      <c r="M48" s="7">
        <f t="shared" si="5"/>
        <v>0</v>
      </c>
      <c r="N48" s="7" t="str">
        <f t="shared" si="6"/>
        <v>Complete</v>
      </c>
    </row>
    <row r="49" ht="15.75" customHeight="1">
      <c r="A49" s="2" t="s">
        <v>66</v>
      </c>
      <c r="B49" s="3">
        <v>46246.0</v>
      </c>
      <c r="C49" s="3">
        <v>46248.0</v>
      </c>
      <c r="D49" s="2" t="s">
        <v>17</v>
      </c>
      <c r="E49" s="2" t="s">
        <v>18</v>
      </c>
      <c r="F49" s="2" t="s">
        <v>19</v>
      </c>
      <c r="G49" s="2">
        <v>1.0</v>
      </c>
      <c r="H49" s="2">
        <v>0.0</v>
      </c>
      <c r="I49" s="7">
        <f t="shared" si="1"/>
        <v>2</v>
      </c>
      <c r="J49" s="7" t="str">
        <f t="shared" si="2"/>
        <v>Within SLA</v>
      </c>
      <c r="K49" s="7">
        <f t="shared" si="3"/>
        <v>0</v>
      </c>
      <c r="L49" s="7" t="str">
        <f t="shared" si="4"/>
        <v>Ship Date Recorded</v>
      </c>
      <c r="M49" s="7">
        <f t="shared" si="5"/>
        <v>-1</v>
      </c>
      <c r="N49" s="7" t="str">
        <f t="shared" si="6"/>
        <v>Short Shipment</v>
      </c>
    </row>
    <row r="50" ht="15.75" customHeight="1">
      <c r="A50" s="2" t="s">
        <v>67</v>
      </c>
      <c r="B50" s="3">
        <v>46248.0</v>
      </c>
      <c r="C50" s="3">
        <v>46250.0</v>
      </c>
      <c r="D50" s="2" t="s">
        <v>9</v>
      </c>
      <c r="E50" s="2" t="s">
        <v>10</v>
      </c>
      <c r="F50" s="2" t="s">
        <v>21</v>
      </c>
      <c r="G50" s="2">
        <v>2.0</v>
      </c>
      <c r="H50" s="2">
        <v>2.0</v>
      </c>
      <c r="I50" s="7">
        <f t="shared" si="1"/>
        <v>0</v>
      </c>
      <c r="J50" s="7" t="str">
        <f t="shared" si="2"/>
        <v>Within SLA</v>
      </c>
      <c r="K50" s="7">
        <f t="shared" si="3"/>
        <v>0</v>
      </c>
      <c r="L50" s="7" t="str">
        <f t="shared" si="4"/>
        <v>Ship Date Recorded</v>
      </c>
      <c r="M50" s="7">
        <f t="shared" si="5"/>
        <v>0</v>
      </c>
      <c r="N50" s="7" t="str">
        <f t="shared" si="6"/>
        <v>Complete</v>
      </c>
    </row>
    <row r="51" ht="15.75" customHeight="1">
      <c r="A51" s="2" t="s">
        <v>68</v>
      </c>
      <c r="B51" s="3">
        <v>46251.0</v>
      </c>
      <c r="C51" s="3">
        <v>46254.0</v>
      </c>
      <c r="D51" s="2" t="s">
        <v>13</v>
      </c>
      <c r="E51" s="2" t="s">
        <v>14</v>
      </c>
      <c r="F51" s="2" t="s">
        <v>23</v>
      </c>
      <c r="G51" s="2">
        <v>3.0</v>
      </c>
      <c r="H51" s="2">
        <v>3.0</v>
      </c>
      <c r="I51" s="7">
        <f t="shared" si="1"/>
        <v>3</v>
      </c>
      <c r="J51" s="7" t="str">
        <f t="shared" si="2"/>
        <v>Over SLA</v>
      </c>
      <c r="K51" s="7">
        <f t="shared" si="3"/>
        <v>1</v>
      </c>
      <c r="L51" s="7" t="str">
        <f t="shared" si="4"/>
        <v>Ship Date Recorded</v>
      </c>
      <c r="M51" s="7">
        <f t="shared" si="5"/>
        <v>0</v>
      </c>
      <c r="N51" s="7" t="str">
        <f t="shared" si="6"/>
        <v>Complete</v>
      </c>
    </row>
    <row r="52" ht="15.75" customHeight="1">
      <c r="A52" s="2" t="s">
        <v>69</v>
      </c>
      <c r="B52" s="3">
        <v>46252.0</v>
      </c>
      <c r="C52" s="3">
        <v>46256.0</v>
      </c>
      <c r="D52" s="2" t="s">
        <v>17</v>
      </c>
      <c r="E52" s="2" t="s">
        <v>18</v>
      </c>
      <c r="F52" s="2" t="s">
        <v>11</v>
      </c>
      <c r="G52" s="2">
        <v>4.0</v>
      </c>
      <c r="H52" s="2">
        <v>4.0</v>
      </c>
      <c r="I52" s="7">
        <f t="shared" si="1"/>
        <v>3</v>
      </c>
      <c r="J52" s="7" t="str">
        <f t="shared" si="2"/>
        <v>Over SLA</v>
      </c>
      <c r="K52" s="7">
        <f t="shared" si="3"/>
        <v>1</v>
      </c>
      <c r="L52" s="7" t="str">
        <f t="shared" si="4"/>
        <v>Ship Date Recorded</v>
      </c>
      <c r="M52" s="7">
        <f t="shared" si="5"/>
        <v>0</v>
      </c>
      <c r="N52" s="7" t="str">
        <f t="shared" si="6"/>
        <v>Complete</v>
      </c>
    </row>
    <row r="53" ht="15.75" customHeight="1">
      <c r="A53" s="2" t="s">
        <v>70</v>
      </c>
      <c r="B53" s="3">
        <v>46254.0</v>
      </c>
      <c r="C53" s="3">
        <v>46259.0</v>
      </c>
      <c r="D53" s="2" t="s">
        <v>9</v>
      </c>
      <c r="E53" s="2" t="s">
        <v>10</v>
      </c>
      <c r="F53" s="2" t="s">
        <v>15</v>
      </c>
      <c r="G53" s="2">
        <v>6.0</v>
      </c>
      <c r="H53" s="2">
        <v>6.0</v>
      </c>
      <c r="I53" s="7">
        <f t="shared" si="1"/>
        <v>3</v>
      </c>
      <c r="J53" s="7" t="str">
        <f t="shared" si="2"/>
        <v>Over SLA</v>
      </c>
      <c r="K53" s="7">
        <f t="shared" si="3"/>
        <v>1</v>
      </c>
      <c r="L53" s="7" t="str">
        <f t="shared" si="4"/>
        <v>Ship Date Recorded</v>
      </c>
      <c r="M53" s="7">
        <f t="shared" si="5"/>
        <v>0</v>
      </c>
      <c r="N53" s="7" t="str">
        <f t="shared" si="6"/>
        <v>Complete</v>
      </c>
    </row>
    <row r="54" ht="15.75" customHeight="1">
      <c r="A54" s="2" t="s">
        <v>71</v>
      </c>
      <c r="B54" s="3">
        <v>46258.0</v>
      </c>
      <c r="C54" s="3">
        <v>46265.0</v>
      </c>
      <c r="D54" s="2" t="s">
        <v>13</v>
      </c>
      <c r="E54" s="2" t="s">
        <v>14</v>
      </c>
      <c r="F54" s="2" t="s">
        <v>19</v>
      </c>
      <c r="G54" s="2">
        <v>12.0</v>
      </c>
      <c r="H54" s="2">
        <v>12.0</v>
      </c>
      <c r="I54" s="7">
        <f t="shared" si="1"/>
        <v>5</v>
      </c>
      <c r="J54" s="7" t="str">
        <f t="shared" si="2"/>
        <v>Over SLA</v>
      </c>
      <c r="K54" s="7">
        <f t="shared" si="3"/>
        <v>1</v>
      </c>
      <c r="L54" s="7" t="str">
        <f t="shared" si="4"/>
        <v>Ship Date Recorded</v>
      </c>
      <c r="M54" s="7">
        <f t="shared" si="5"/>
        <v>0</v>
      </c>
      <c r="N54" s="7" t="str">
        <f t="shared" si="6"/>
        <v>Complete</v>
      </c>
    </row>
    <row r="55" ht="15.75" customHeight="1">
      <c r="A55" s="2" t="s">
        <v>72</v>
      </c>
      <c r="B55" s="3">
        <v>46258.0</v>
      </c>
      <c r="C55" s="3">
        <v>46258.0</v>
      </c>
      <c r="D55" s="2" t="s">
        <v>17</v>
      </c>
      <c r="E55" s="2" t="s">
        <v>18</v>
      </c>
      <c r="F55" s="2" t="s">
        <v>21</v>
      </c>
      <c r="G55" s="2">
        <v>1.0</v>
      </c>
      <c r="H55" s="2">
        <v>1.0</v>
      </c>
      <c r="I55" s="7">
        <f t="shared" si="1"/>
        <v>0</v>
      </c>
      <c r="J55" s="7" t="str">
        <f t="shared" si="2"/>
        <v>Within SLA</v>
      </c>
      <c r="K55" s="7">
        <f t="shared" si="3"/>
        <v>0</v>
      </c>
      <c r="L55" s="7" t="str">
        <f t="shared" si="4"/>
        <v>Ship Date Recorded</v>
      </c>
      <c r="M55" s="7">
        <f t="shared" si="5"/>
        <v>0</v>
      </c>
      <c r="N55" s="7" t="str">
        <f t="shared" si="6"/>
        <v>Complete</v>
      </c>
    </row>
    <row r="56" ht="15.75" customHeight="1">
      <c r="A56" s="2" t="s">
        <v>73</v>
      </c>
      <c r="B56" s="3">
        <v>46260.0</v>
      </c>
      <c r="C56" s="3">
        <v>46261.0</v>
      </c>
      <c r="D56" s="2" t="s">
        <v>9</v>
      </c>
      <c r="E56" s="2" t="s">
        <v>10</v>
      </c>
      <c r="F56" s="2" t="s">
        <v>23</v>
      </c>
      <c r="G56" s="2">
        <v>2.0</v>
      </c>
      <c r="H56" s="2">
        <v>2.0</v>
      </c>
      <c r="I56" s="7">
        <f t="shared" si="1"/>
        <v>1</v>
      </c>
      <c r="J56" s="7" t="str">
        <f t="shared" si="2"/>
        <v>Within SLA</v>
      </c>
      <c r="K56" s="7">
        <f t="shared" si="3"/>
        <v>0</v>
      </c>
      <c r="L56" s="7" t="str">
        <f t="shared" si="4"/>
        <v>Ship Date Recorded</v>
      </c>
      <c r="M56" s="7">
        <f t="shared" si="5"/>
        <v>0</v>
      </c>
      <c r="N56" s="7" t="str">
        <f t="shared" si="6"/>
        <v>Complete</v>
      </c>
    </row>
    <row r="57" ht="15.75" customHeight="1">
      <c r="A57" s="2" t="s">
        <v>74</v>
      </c>
      <c r="B57" s="3">
        <v>46262.0</v>
      </c>
      <c r="C57" s="3">
        <v>46263.0</v>
      </c>
      <c r="D57" s="2" t="s">
        <v>13</v>
      </c>
      <c r="E57" s="2" t="s">
        <v>14</v>
      </c>
      <c r="F57" s="2" t="s">
        <v>11</v>
      </c>
      <c r="G57" s="2">
        <v>3.0</v>
      </c>
      <c r="H57" s="2">
        <v>3.0</v>
      </c>
      <c r="I57" s="7">
        <f t="shared" si="1"/>
        <v>0</v>
      </c>
      <c r="J57" s="7" t="str">
        <f t="shared" si="2"/>
        <v>Within SLA</v>
      </c>
      <c r="K57" s="7">
        <f t="shared" si="3"/>
        <v>0</v>
      </c>
      <c r="L57" s="7" t="str">
        <f t="shared" si="4"/>
        <v>Ship Date Recorded</v>
      </c>
      <c r="M57" s="7">
        <f t="shared" si="5"/>
        <v>0</v>
      </c>
      <c r="N57" s="7" t="str">
        <f t="shared" si="6"/>
        <v>Complete</v>
      </c>
    </row>
    <row r="58" ht="15.75" customHeight="1">
      <c r="A58" s="2" t="s">
        <v>75</v>
      </c>
      <c r="B58" s="3">
        <v>46265.0</v>
      </c>
      <c r="C58" s="3">
        <v>46267.0</v>
      </c>
      <c r="D58" s="2" t="s">
        <v>17</v>
      </c>
      <c r="E58" s="2" t="s">
        <v>18</v>
      </c>
      <c r="F58" s="2" t="s">
        <v>15</v>
      </c>
      <c r="G58" s="2">
        <v>4.0</v>
      </c>
      <c r="H58" s="2">
        <v>4.0</v>
      </c>
      <c r="I58" s="7">
        <f t="shared" si="1"/>
        <v>2</v>
      </c>
      <c r="J58" s="7" t="str">
        <f t="shared" si="2"/>
        <v>Within SLA</v>
      </c>
      <c r="K58" s="7">
        <f t="shared" si="3"/>
        <v>0</v>
      </c>
      <c r="L58" s="7" t="str">
        <f t="shared" si="4"/>
        <v>Ship Date Recorded</v>
      </c>
      <c r="M58" s="7">
        <f t="shared" si="5"/>
        <v>0</v>
      </c>
      <c r="N58" s="7" t="str">
        <f t="shared" si="6"/>
        <v>Complete</v>
      </c>
    </row>
    <row r="59" ht="15.75" customHeight="1">
      <c r="A59" s="2" t="s">
        <v>76</v>
      </c>
      <c r="B59" s="3">
        <v>46237.0</v>
      </c>
      <c r="C59" s="3">
        <v>46239.0</v>
      </c>
      <c r="D59" s="2" t="s">
        <v>9</v>
      </c>
      <c r="E59" s="2" t="s">
        <v>10</v>
      </c>
      <c r="F59" s="2" t="s">
        <v>19</v>
      </c>
      <c r="G59" s="2">
        <v>6.0</v>
      </c>
      <c r="H59" s="2">
        <v>6.0</v>
      </c>
      <c r="I59" s="7">
        <f t="shared" si="1"/>
        <v>2</v>
      </c>
      <c r="J59" s="7" t="str">
        <f t="shared" si="2"/>
        <v>Within SLA</v>
      </c>
      <c r="K59" s="7">
        <f t="shared" si="3"/>
        <v>0</v>
      </c>
      <c r="L59" s="7" t="str">
        <f t="shared" si="4"/>
        <v>Ship Date Recorded</v>
      </c>
      <c r="M59" s="7">
        <f t="shared" si="5"/>
        <v>0</v>
      </c>
      <c r="N59" s="7" t="str">
        <f t="shared" si="6"/>
        <v>Complete</v>
      </c>
    </row>
    <row r="60" ht="15.75" customHeight="1">
      <c r="A60" s="2" t="s">
        <v>77</v>
      </c>
      <c r="B60" s="3">
        <v>46239.0</v>
      </c>
      <c r="C60" s="3">
        <v>46242.0</v>
      </c>
      <c r="D60" s="2" t="s">
        <v>13</v>
      </c>
      <c r="E60" s="2" t="s">
        <v>14</v>
      </c>
      <c r="F60" s="2" t="s">
        <v>21</v>
      </c>
      <c r="G60" s="2">
        <v>12.0</v>
      </c>
      <c r="H60" s="2">
        <v>12.0</v>
      </c>
      <c r="I60" s="7">
        <f t="shared" si="1"/>
        <v>2</v>
      </c>
      <c r="J60" s="7" t="str">
        <f t="shared" si="2"/>
        <v>Within SLA</v>
      </c>
      <c r="K60" s="7">
        <f t="shared" si="3"/>
        <v>0</v>
      </c>
      <c r="L60" s="7" t="str">
        <f t="shared" si="4"/>
        <v>Ship Date Recorded</v>
      </c>
      <c r="M60" s="7">
        <f t="shared" si="5"/>
        <v>0</v>
      </c>
      <c r="N60" s="7" t="str">
        <f t="shared" si="6"/>
        <v>Complete</v>
      </c>
    </row>
    <row r="61" ht="15.75" customHeight="1">
      <c r="A61" s="2" t="s">
        <v>78</v>
      </c>
      <c r="B61" s="3">
        <v>46241.0</v>
      </c>
      <c r="C61" s="3">
        <v>46245.0</v>
      </c>
      <c r="D61" s="2" t="s">
        <v>17</v>
      </c>
      <c r="E61" s="2" t="s">
        <v>18</v>
      </c>
      <c r="F61" s="2" t="s">
        <v>23</v>
      </c>
      <c r="G61" s="2">
        <v>1.0</v>
      </c>
      <c r="H61" s="2">
        <v>1.0</v>
      </c>
      <c r="I61" s="7">
        <f t="shared" si="1"/>
        <v>2</v>
      </c>
      <c r="J61" s="7" t="str">
        <f t="shared" si="2"/>
        <v>Within SLA</v>
      </c>
      <c r="K61" s="7">
        <f t="shared" si="3"/>
        <v>0</v>
      </c>
      <c r="L61" s="7" t="str">
        <f t="shared" si="4"/>
        <v>Ship Date Recorded</v>
      </c>
      <c r="M61" s="7">
        <f t="shared" si="5"/>
        <v>0</v>
      </c>
      <c r="N61" s="7" t="str">
        <f t="shared" si="6"/>
        <v>Complete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6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0.0"/>
    <col customWidth="1" min="3" max="3" width="11.43"/>
    <col customWidth="1" min="4" max="4" width="14.29"/>
    <col customWidth="1" min="5" max="5" width="17.0"/>
    <col customWidth="1" min="6" max="6" width="15.0"/>
    <col customWidth="1" min="7" max="7" width="10.71"/>
    <col customWidth="1" min="8" max="8" width="21.14"/>
    <col customWidth="1" min="10" max="10" width="17.14"/>
    <col customWidth="1" min="13" max="13" width="15.0"/>
  </cols>
  <sheetData>
    <row r="1">
      <c r="A1" s="1" t="s">
        <v>3</v>
      </c>
      <c r="B1" s="1" t="s">
        <v>5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J1" s="8" t="s">
        <v>3</v>
      </c>
      <c r="K1" s="8" t="s">
        <v>110</v>
      </c>
      <c r="L1" s="8" t="s">
        <v>111</v>
      </c>
      <c r="M1" s="8" t="s">
        <v>113</v>
      </c>
      <c r="N1" s="8" t="s">
        <v>114</v>
      </c>
      <c r="O1" s="8" t="s">
        <v>116</v>
      </c>
      <c r="P1" s="8" t="s">
        <v>112</v>
      </c>
    </row>
    <row r="2">
      <c r="A2" s="7" t="str">
        <f t="array" ref="A2:B16">UNIQUE({'SLA Analysis'!D2:D61,'SLA Analysis'!F2:F61})</f>
        <v>Fidelity NL</v>
      </c>
      <c r="B2" s="7" t="s">
        <v>11</v>
      </c>
      <c r="C2" s="7">
        <f>COUNTIFS('SLA Analysis'!D$2:D$61,A2,'SLA Analysis'!F$2:F$61,B2)</f>
        <v>4</v>
      </c>
      <c r="D2" s="7">
        <f>COUNTIFS('SLA Analysis'!D$2:D$61,A2,'SLA Analysis'!F$2:F$61,B2,'SLA Analysis'!C$2:C$61,"&lt;&gt;")</f>
        <v>4</v>
      </c>
      <c r="E2" s="7">
        <f>IFERROR(AVERAGEIFS('SLA Analysis'!I$2:I$61,'SLA Analysis'!D$2:D$61,A2,'SLA Analysis'!F$2:F$61,B2),"")</f>
        <v>1.25</v>
      </c>
      <c r="F2" s="7">
        <f>COUNTIFS('SLA Analysis'!D$2:D$61,A2,'SLA Analysis'!F$2:F$61,B2,'SLA Analysis'!J$2:J$61,"Over SLA")</f>
        <v>1</v>
      </c>
      <c r="G2" s="9">
        <f t="shared" ref="G2:G16" si="1">IFERROR(F2/D2,0)</f>
        <v>0.25</v>
      </c>
      <c r="H2" s="7">
        <f>COUNTIFS('SLA Analysis'!D$2:D$61,A2,'SLA Analysis'!F$2:F$61,B2,'SLA Analysis'!C$2:C$61,"")</f>
        <v>0</v>
      </c>
      <c r="J2" s="7" t="str">
        <f t="array" ref="J2:J4">UNIQUE(A2:A16)</f>
        <v>Fidelity NL</v>
      </c>
      <c r="K2" s="7">
        <f t="shared" ref="K2:K4" si="2">SUMIF($A$2:$A$16,J2,$C$2:$C$16)</f>
        <v>20</v>
      </c>
      <c r="L2" s="7">
        <f t="shared" ref="L2:L4" si="3">SUMIF($A$2:$A$16,J2,$D$2:$D$16)</f>
        <v>19</v>
      </c>
      <c r="M2" s="7">
        <f t="shared" ref="M2:M4" si="4">SUMIF($A$2:$A$16,J2,$F$2:$F$16)</f>
        <v>5</v>
      </c>
      <c r="N2" s="9">
        <f t="shared" ref="N2:N4" si="5">IFERROR(M2/L2,0)</f>
        <v>0.2631578947</v>
      </c>
      <c r="O2" s="7">
        <f t="shared" ref="O2:O4" si="6">SUMIF($A$2:$A$16,J2,$H$2:$H$16)</f>
        <v>1</v>
      </c>
      <c r="P2" s="10">
        <f>IFERROR(AVERAGEIF('SLA Analysis'!$D$2:$D$61,J2,'SLA Analysis'!$I$2:$I$61),0)</f>
        <v>1.789473684</v>
      </c>
      <c r="W2" s="9"/>
      <c r="Y2" s="10"/>
    </row>
    <row r="3">
      <c r="A3" s="7" t="s">
        <v>13</v>
      </c>
      <c r="B3" s="7" t="s">
        <v>15</v>
      </c>
      <c r="C3" s="7">
        <f>COUNTIFS('SLA Analysis'!D$2:D$61,A3,'SLA Analysis'!F$2:F$61,B3)</f>
        <v>4</v>
      </c>
      <c r="D3" s="7">
        <f>COUNTIFS('SLA Analysis'!D$2:D$61,A3,'SLA Analysis'!F$2:F$61,B3,'SLA Analysis'!C$2:C$61,"&lt;&gt;")</f>
        <v>4</v>
      </c>
      <c r="E3" s="7">
        <f>IFERROR(AVERAGEIFS('SLA Analysis'!I$2:I$61,'SLA Analysis'!D$2:D$61,A3,'SLA Analysis'!F$2:F$61,B3),"")</f>
        <v>2.25</v>
      </c>
      <c r="F3" s="7">
        <f>COUNTIFS('SLA Analysis'!D$2:D$61,A3,'SLA Analysis'!F$2:F$61,B3,'SLA Analysis'!J$2:J$61,"Over SLA")</f>
        <v>2</v>
      </c>
      <c r="G3" s="9">
        <f t="shared" si="1"/>
        <v>0.5</v>
      </c>
      <c r="H3" s="7">
        <f>COUNTIFS('SLA Analysis'!D$2:D$61,A3,'SLA Analysis'!F$2:F$61,B3,'SLA Analysis'!C$2:C$61,"")</f>
        <v>0</v>
      </c>
      <c r="J3" s="7" t="s">
        <v>13</v>
      </c>
      <c r="K3" s="7">
        <f t="shared" si="2"/>
        <v>20</v>
      </c>
      <c r="L3" s="7">
        <f t="shared" si="3"/>
        <v>19</v>
      </c>
      <c r="M3" s="7">
        <f t="shared" si="4"/>
        <v>9</v>
      </c>
      <c r="N3" s="9">
        <f t="shared" si="5"/>
        <v>0.4736842105</v>
      </c>
      <c r="O3" s="7">
        <f t="shared" si="6"/>
        <v>1</v>
      </c>
      <c r="P3" s="10">
        <f>IFERROR(AVERAGEIF('SLA Analysis'!$D$2:$D$61,J3,'SLA Analysis'!$I$2:$I$61),0)</f>
        <v>2.421052632</v>
      </c>
      <c r="W3" s="9"/>
      <c r="Y3" s="10"/>
    </row>
    <row r="4">
      <c r="A4" s="7" t="s">
        <v>17</v>
      </c>
      <c r="B4" s="7" t="s">
        <v>19</v>
      </c>
      <c r="C4" s="7">
        <f>COUNTIFS('SLA Analysis'!D$2:D$61,A4,'SLA Analysis'!F$2:F$61,B4)</f>
        <v>4</v>
      </c>
      <c r="D4" s="7">
        <f>COUNTIFS('SLA Analysis'!D$2:D$61,A4,'SLA Analysis'!F$2:F$61,B4,'SLA Analysis'!C$2:C$61,"&lt;&gt;")</f>
        <v>4</v>
      </c>
      <c r="E4" s="7">
        <f>IFERROR(AVERAGEIFS('SLA Analysis'!I$2:I$61,'SLA Analysis'!D$2:D$61,A4,'SLA Analysis'!F$2:F$61,B4),"")</f>
        <v>1.75</v>
      </c>
      <c r="F4" s="7">
        <f>COUNTIFS('SLA Analysis'!D$2:D$61,A4,'SLA Analysis'!F$2:F$61,B4,'SLA Analysis'!J$2:J$61,"Over SLA")</f>
        <v>1</v>
      </c>
      <c r="G4" s="9">
        <f t="shared" si="1"/>
        <v>0.25</v>
      </c>
      <c r="H4" s="7">
        <f>COUNTIFS('SLA Analysis'!D$2:D$61,A4,'SLA Analysis'!F$2:F$61,B4,'SLA Analysis'!C$2:C$61,"")</f>
        <v>0</v>
      </c>
      <c r="J4" s="7" t="s">
        <v>17</v>
      </c>
      <c r="K4" s="7">
        <f t="shared" si="2"/>
        <v>20</v>
      </c>
      <c r="L4" s="7">
        <f t="shared" si="3"/>
        <v>19</v>
      </c>
      <c r="M4" s="7">
        <f t="shared" si="4"/>
        <v>6</v>
      </c>
      <c r="N4" s="9">
        <f t="shared" si="5"/>
        <v>0.3157894737</v>
      </c>
      <c r="O4" s="7">
        <f t="shared" si="6"/>
        <v>1</v>
      </c>
      <c r="P4" s="10">
        <f>IFERROR(AVERAGEIF('SLA Analysis'!$D$2:$D$61,J4,'SLA Analysis'!$I$2:$I$61),0)</f>
        <v>1.894736842</v>
      </c>
      <c r="W4" s="9"/>
      <c r="Y4" s="10"/>
    </row>
    <row r="5">
      <c r="A5" s="7" t="s">
        <v>9</v>
      </c>
      <c r="B5" s="7" t="s">
        <v>21</v>
      </c>
      <c r="C5" s="7">
        <f>COUNTIFS('SLA Analysis'!D$2:D$61,A5,'SLA Analysis'!F$2:F$61,B5)</f>
        <v>4</v>
      </c>
      <c r="D5" s="7">
        <f>COUNTIFS('SLA Analysis'!D$2:D$61,A5,'SLA Analysis'!F$2:F$61,B5,'SLA Analysis'!C$2:C$61,"&lt;&gt;")</f>
        <v>4</v>
      </c>
      <c r="E5" s="7">
        <f>IFERROR(AVERAGEIFS('SLA Analysis'!I$2:I$61,'SLA Analysis'!D$2:D$61,A5,'SLA Analysis'!F$2:F$61,B5),"")</f>
        <v>1.5</v>
      </c>
      <c r="F5" s="7">
        <f>COUNTIFS('SLA Analysis'!D$2:D$61,A5,'SLA Analysis'!F$2:F$61,B5,'SLA Analysis'!J$2:J$61,"Over SLA")</f>
        <v>1</v>
      </c>
      <c r="G5" s="9">
        <f t="shared" si="1"/>
        <v>0.25</v>
      </c>
      <c r="H5" s="7">
        <f>COUNTIFS('SLA Analysis'!D$2:D$61,A5,'SLA Analysis'!F$2:F$61,B5,'SLA Analysis'!C$2:C$61,"")</f>
        <v>0</v>
      </c>
    </row>
    <row r="6">
      <c r="A6" s="7" t="s">
        <v>13</v>
      </c>
      <c r="B6" s="7" t="s">
        <v>23</v>
      </c>
      <c r="C6" s="7">
        <f>COUNTIFS('SLA Analysis'!D$2:D$61,A6,'SLA Analysis'!F$2:F$61,B6)</f>
        <v>4</v>
      </c>
      <c r="D6" s="7">
        <f>COUNTIFS('SLA Analysis'!D$2:D$61,A6,'SLA Analysis'!F$2:F$61,B6,'SLA Analysis'!C$2:C$61,"&lt;&gt;")</f>
        <v>4</v>
      </c>
      <c r="E6" s="7">
        <f>IFERROR(AVERAGEIFS('SLA Analysis'!I$2:I$61,'SLA Analysis'!D$2:D$61,A6,'SLA Analysis'!F$2:F$61,B6),"")</f>
        <v>2.25</v>
      </c>
      <c r="F6" s="7">
        <f>COUNTIFS('SLA Analysis'!D$2:D$61,A6,'SLA Analysis'!F$2:F$61,B6,'SLA Analysis'!J$2:J$61,"Over SLA")</f>
        <v>2</v>
      </c>
      <c r="G6" s="9">
        <f t="shared" si="1"/>
        <v>0.5</v>
      </c>
      <c r="H6" s="7">
        <f>COUNTIFS('SLA Analysis'!D$2:D$61,A6,'SLA Analysis'!F$2:F$61,B6,'SLA Analysis'!C$2:C$61,"")</f>
        <v>0</v>
      </c>
    </row>
    <row r="7">
      <c r="A7" s="7" t="s">
        <v>17</v>
      </c>
      <c r="B7" s="7" t="s">
        <v>11</v>
      </c>
      <c r="C7" s="7">
        <f>COUNTIFS('SLA Analysis'!D$2:D$61,A7,'SLA Analysis'!F$2:F$61,B7)</f>
        <v>4</v>
      </c>
      <c r="D7" s="7">
        <f>COUNTIFS('SLA Analysis'!D$2:D$61,A7,'SLA Analysis'!F$2:F$61,B7,'SLA Analysis'!C$2:C$61,"&lt;&gt;")</f>
        <v>4</v>
      </c>
      <c r="E7" s="7">
        <f>IFERROR(AVERAGEIFS('SLA Analysis'!I$2:I$61,'SLA Analysis'!D$2:D$61,A7,'SLA Analysis'!F$2:F$61,B7),"")</f>
        <v>2.25</v>
      </c>
      <c r="F7" s="7">
        <f>COUNTIFS('SLA Analysis'!D$2:D$61,A7,'SLA Analysis'!F$2:F$61,B7,'SLA Analysis'!J$2:J$61,"Over SLA")</f>
        <v>2</v>
      </c>
      <c r="G7" s="9">
        <f t="shared" si="1"/>
        <v>0.5</v>
      </c>
      <c r="H7" s="7">
        <f>COUNTIFS('SLA Analysis'!D$2:D$61,A7,'SLA Analysis'!F$2:F$61,B7,'SLA Analysis'!C$2:C$61,"")</f>
        <v>0</v>
      </c>
    </row>
    <row r="8">
      <c r="A8" s="7" t="s">
        <v>9</v>
      </c>
      <c r="B8" s="7" t="s">
        <v>15</v>
      </c>
      <c r="C8" s="7">
        <f>COUNTIFS('SLA Analysis'!D$2:D$61,A8,'SLA Analysis'!F$2:F$61,B8)</f>
        <v>4</v>
      </c>
      <c r="D8" s="7">
        <f>COUNTIFS('SLA Analysis'!D$2:D$61,A8,'SLA Analysis'!F$2:F$61,B8,'SLA Analysis'!C$2:C$61,"&lt;&gt;")</f>
        <v>4</v>
      </c>
      <c r="E8" s="7">
        <f>IFERROR(AVERAGEIFS('SLA Analysis'!I$2:I$61,'SLA Analysis'!D$2:D$61,A8,'SLA Analysis'!F$2:F$61,B8),"")</f>
        <v>2.5</v>
      </c>
      <c r="F8" s="7">
        <f>COUNTIFS('SLA Analysis'!D$2:D$61,A8,'SLA Analysis'!F$2:F$61,B8,'SLA Analysis'!J$2:J$61,"Over SLA")</f>
        <v>2</v>
      </c>
      <c r="G8" s="9">
        <f t="shared" si="1"/>
        <v>0.5</v>
      </c>
      <c r="H8" s="7">
        <f>COUNTIFS('SLA Analysis'!D$2:D$61,A8,'SLA Analysis'!F$2:F$61,B8,'SLA Analysis'!C$2:C$61,"")</f>
        <v>0</v>
      </c>
    </row>
    <row r="9">
      <c r="A9" s="7" t="s">
        <v>13</v>
      </c>
      <c r="B9" s="7" t="s">
        <v>19</v>
      </c>
      <c r="C9" s="7">
        <f>COUNTIFS('SLA Analysis'!D$2:D$61,A9,'SLA Analysis'!F$2:F$61,B9)</f>
        <v>4</v>
      </c>
      <c r="D9" s="7">
        <f>COUNTIFS('SLA Analysis'!D$2:D$61,A9,'SLA Analysis'!F$2:F$61,B9,'SLA Analysis'!C$2:C$61,"&lt;&gt;")</f>
        <v>4</v>
      </c>
      <c r="E9" s="7">
        <f>IFERROR(AVERAGEIFS('SLA Analysis'!I$2:I$61,'SLA Analysis'!D$2:D$61,A9,'SLA Analysis'!F$2:F$61,B9),"")</f>
        <v>2.75</v>
      </c>
      <c r="F9" s="7">
        <f>COUNTIFS('SLA Analysis'!D$2:D$61,A9,'SLA Analysis'!F$2:F$61,B9,'SLA Analysis'!J$2:J$61,"Over SLA")</f>
        <v>2</v>
      </c>
      <c r="G9" s="9">
        <f t="shared" si="1"/>
        <v>0.5</v>
      </c>
      <c r="H9" s="7">
        <f>COUNTIFS('SLA Analysis'!D$2:D$61,A9,'SLA Analysis'!F$2:F$61,B9,'SLA Analysis'!C$2:C$61,"")</f>
        <v>0</v>
      </c>
    </row>
    <row r="10">
      <c r="A10" s="7" t="s">
        <v>17</v>
      </c>
      <c r="B10" s="7" t="s">
        <v>21</v>
      </c>
      <c r="C10" s="7">
        <f>COUNTIFS('SLA Analysis'!D$2:D$61,A10,'SLA Analysis'!F$2:F$61,B10)</f>
        <v>4</v>
      </c>
      <c r="D10" s="7">
        <f>COUNTIFS('SLA Analysis'!D$2:D$61,A10,'SLA Analysis'!F$2:F$61,B10,'SLA Analysis'!C$2:C$61,"&lt;&gt;")</f>
        <v>4</v>
      </c>
      <c r="E10" s="7">
        <f>IFERROR(AVERAGEIFS('SLA Analysis'!I$2:I$61,'SLA Analysis'!D$2:D$61,A10,'SLA Analysis'!F$2:F$61,B10),"")</f>
        <v>1.5</v>
      </c>
      <c r="F10" s="7">
        <f>COUNTIFS('SLA Analysis'!D$2:D$61,A10,'SLA Analysis'!F$2:F$61,B10,'SLA Analysis'!J$2:J$61,"Over SLA")</f>
        <v>1</v>
      </c>
      <c r="G10" s="9">
        <f t="shared" si="1"/>
        <v>0.25</v>
      </c>
      <c r="H10" s="7">
        <f>COUNTIFS('SLA Analysis'!D$2:D$61,A10,'SLA Analysis'!F$2:F$61,B10,'SLA Analysis'!C$2:C$61,"")</f>
        <v>0</v>
      </c>
    </row>
    <row r="11">
      <c r="A11" s="7" t="s">
        <v>9</v>
      </c>
      <c r="B11" s="7" t="s">
        <v>23</v>
      </c>
      <c r="C11" s="7">
        <f>COUNTIFS('SLA Analysis'!D$2:D$61,A11,'SLA Analysis'!F$2:F$61,B11)</f>
        <v>4</v>
      </c>
      <c r="D11" s="7">
        <f>COUNTIFS('SLA Analysis'!D$2:D$61,A11,'SLA Analysis'!F$2:F$61,B11,'SLA Analysis'!C$2:C$61,"&lt;&gt;")</f>
        <v>4</v>
      </c>
      <c r="E11" s="7">
        <f>IFERROR(AVERAGEIFS('SLA Analysis'!I$2:I$61,'SLA Analysis'!D$2:D$61,A11,'SLA Analysis'!F$2:F$61,B11),"")</f>
        <v>2</v>
      </c>
      <c r="F11" s="7">
        <f>COUNTIFS('SLA Analysis'!D$2:D$61,A11,'SLA Analysis'!F$2:F$61,B11,'SLA Analysis'!J$2:J$61,"Over SLA")</f>
        <v>1</v>
      </c>
      <c r="G11" s="9">
        <f t="shared" si="1"/>
        <v>0.25</v>
      </c>
      <c r="H11" s="7">
        <f>COUNTIFS('SLA Analysis'!D$2:D$61,A11,'SLA Analysis'!F$2:F$61,B11,'SLA Analysis'!C$2:C$61,"")</f>
        <v>0</v>
      </c>
    </row>
    <row r="12">
      <c r="A12" s="7" t="s">
        <v>13</v>
      </c>
      <c r="B12" s="7" t="s">
        <v>11</v>
      </c>
      <c r="C12" s="7">
        <f>COUNTIFS('SLA Analysis'!D$2:D$61,A12,'SLA Analysis'!F$2:F$61,B12)</f>
        <v>4</v>
      </c>
      <c r="D12" s="7">
        <f>COUNTIFS('SLA Analysis'!D$2:D$61,A12,'SLA Analysis'!F$2:F$61,B12,'SLA Analysis'!C$2:C$61,"&lt;&gt;")</f>
        <v>3</v>
      </c>
      <c r="E12" s="7">
        <f>IFERROR(AVERAGEIFS('SLA Analysis'!I$2:I$61,'SLA Analysis'!D$2:D$61,A12,'SLA Analysis'!F$2:F$61,B12),"")</f>
        <v>2</v>
      </c>
      <c r="F12" s="7">
        <f>COUNTIFS('SLA Analysis'!D$2:D$61,A12,'SLA Analysis'!F$2:F$61,B12,'SLA Analysis'!J$2:J$61,"Over SLA")</f>
        <v>1</v>
      </c>
      <c r="G12" s="9">
        <f t="shared" si="1"/>
        <v>0.3333333333</v>
      </c>
      <c r="H12" s="7">
        <f>COUNTIFS('SLA Analysis'!D$2:D$61,A12,'SLA Analysis'!F$2:F$61,B12,'SLA Analysis'!C$2:C$61,"")</f>
        <v>1</v>
      </c>
    </row>
    <row r="13">
      <c r="A13" s="7" t="s">
        <v>17</v>
      </c>
      <c r="B13" s="7" t="s">
        <v>15</v>
      </c>
      <c r="C13" s="7">
        <f>COUNTIFS('SLA Analysis'!D$2:D$61,A13,'SLA Analysis'!F$2:F$61,B13)</f>
        <v>4</v>
      </c>
      <c r="D13" s="7">
        <f>COUNTIFS('SLA Analysis'!D$2:D$61,A13,'SLA Analysis'!F$2:F$61,B13,'SLA Analysis'!C$2:C$61,"&lt;&gt;")</f>
        <v>3</v>
      </c>
      <c r="E13" s="7">
        <f>IFERROR(AVERAGEIFS('SLA Analysis'!I$2:I$61,'SLA Analysis'!D$2:D$61,A13,'SLA Analysis'!F$2:F$61,B13),"")</f>
        <v>2.333333333</v>
      </c>
      <c r="F13" s="7">
        <f>COUNTIFS('SLA Analysis'!D$2:D$61,A13,'SLA Analysis'!F$2:F$61,B13,'SLA Analysis'!J$2:J$61,"Over SLA")</f>
        <v>1</v>
      </c>
      <c r="G13" s="9">
        <f t="shared" si="1"/>
        <v>0.3333333333</v>
      </c>
      <c r="H13" s="7">
        <f>COUNTIFS('SLA Analysis'!D$2:D$61,A13,'SLA Analysis'!F$2:F$61,B13,'SLA Analysis'!C$2:C$61,"")</f>
        <v>1</v>
      </c>
    </row>
    <row r="14">
      <c r="A14" s="7" t="s">
        <v>9</v>
      </c>
      <c r="B14" s="7" t="s">
        <v>19</v>
      </c>
      <c r="C14" s="7">
        <f>COUNTIFS('SLA Analysis'!D$2:D$61,A14,'SLA Analysis'!F$2:F$61,B14)</f>
        <v>4</v>
      </c>
      <c r="D14" s="7">
        <f>COUNTIFS('SLA Analysis'!D$2:D$61,A14,'SLA Analysis'!F$2:F$61,B14,'SLA Analysis'!C$2:C$61,"&lt;&gt;")</f>
        <v>3</v>
      </c>
      <c r="E14" s="7">
        <f>IFERROR(AVERAGEIFS('SLA Analysis'!I$2:I$61,'SLA Analysis'!D$2:D$61,A14,'SLA Analysis'!F$2:F$61,B14),"")</f>
        <v>1.666666667</v>
      </c>
      <c r="F14" s="7">
        <f>COUNTIFS('SLA Analysis'!D$2:D$61,A14,'SLA Analysis'!F$2:F$61,B14,'SLA Analysis'!J$2:J$61,"Over SLA")</f>
        <v>0</v>
      </c>
      <c r="G14" s="9">
        <f t="shared" si="1"/>
        <v>0</v>
      </c>
      <c r="H14" s="7">
        <f>COUNTIFS('SLA Analysis'!D$2:D$61,A14,'SLA Analysis'!F$2:F$61,B14,'SLA Analysis'!C$2:C$61,"")</f>
        <v>1</v>
      </c>
    </row>
    <row r="15">
      <c r="A15" s="7" t="s">
        <v>13</v>
      </c>
      <c r="B15" s="7" t="s">
        <v>21</v>
      </c>
      <c r="C15" s="7">
        <f>COUNTIFS('SLA Analysis'!D$2:D$61,A15,'SLA Analysis'!F$2:F$61,B15)</f>
        <v>4</v>
      </c>
      <c r="D15" s="7">
        <f>COUNTIFS('SLA Analysis'!D$2:D$61,A15,'SLA Analysis'!F$2:F$61,B15,'SLA Analysis'!C$2:C$61,"&lt;&gt;")</f>
        <v>4</v>
      </c>
      <c r="E15" s="7">
        <f>IFERROR(AVERAGEIFS('SLA Analysis'!I$2:I$61,'SLA Analysis'!D$2:D$61,A15,'SLA Analysis'!F$2:F$61,B15),"")</f>
        <v>2.75</v>
      </c>
      <c r="F15" s="7">
        <f>COUNTIFS('SLA Analysis'!D$2:D$61,A15,'SLA Analysis'!F$2:F$61,B15,'SLA Analysis'!J$2:J$61,"Over SLA")</f>
        <v>2</v>
      </c>
      <c r="G15" s="9">
        <f t="shared" si="1"/>
        <v>0.5</v>
      </c>
      <c r="H15" s="7">
        <f>COUNTIFS('SLA Analysis'!D$2:D$61,A15,'SLA Analysis'!F$2:F$61,B15,'SLA Analysis'!C$2:C$61,"")</f>
        <v>0</v>
      </c>
    </row>
    <row r="16">
      <c r="A16" s="7" t="s">
        <v>17</v>
      </c>
      <c r="B16" s="7" t="s">
        <v>23</v>
      </c>
      <c r="C16" s="7">
        <f>COUNTIFS('SLA Analysis'!D$2:D$61,A16,'SLA Analysis'!F$2:F$61,B16)</f>
        <v>4</v>
      </c>
      <c r="D16" s="7">
        <f>COUNTIFS('SLA Analysis'!D$2:D$61,A16,'SLA Analysis'!F$2:F$61,B16,'SLA Analysis'!C$2:C$61,"&lt;&gt;")</f>
        <v>4</v>
      </c>
      <c r="E16" s="7">
        <f>IFERROR(AVERAGEIFS('SLA Analysis'!I$2:I$61,'SLA Analysis'!D$2:D$61,A16,'SLA Analysis'!F$2:F$61,B16),"")</f>
        <v>1.75</v>
      </c>
      <c r="F16" s="7">
        <f>COUNTIFS('SLA Analysis'!D$2:D$61,A16,'SLA Analysis'!F$2:F$61,B16,'SLA Analysis'!J$2:J$61,"Over SLA")</f>
        <v>1</v>
      </c>
      <c r="G16" s="9">
        <f t="shared" si="1"/>
        <v>0.25</v>
      </c>
      <c r="H16" s="7">
        <f>COUNTIFS('SLA Analysis'!D$2:D$61,A16,'SLA Analysis'!F$2:F$61,B16,'SLA Analysis'!C$2:C$61,"")</f>
        <v>0</v>
      </c>
    </row>
  </sheetData>
  <autoFilter ref="$A$1:$H$1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25.0"/>
    <col customWidth="1" min="4" max="4" width="20.0"/>
    <col customWidth="1" min="5" max="5" width="62.0"/>
    <col customWidth="1" min="6" max="6" width="8.71"/>
    <col customWidth="1" min="7" max="7" width="13.86"/>
    <col customWidth="1" min="8" max="8" width="12.57"/>
    <col customWidth="1" min="9" max="26" width="8.7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8" t="s">
        <v>108</v>
      </c>
      <c r="G1" s="8" t="s">
        <v>117</v>
      </c>
      <c r="H1" s="8" t="s">
        <v>118</v>
      </c>
      <c r="I1" s="8" t="s">
        <v>119</v>
      </c>
      <c r="J1" s="8" t="s">
        <v>120</v>
      </c>
      <c r="L1" s="8" t="s">
        <v>79</v>
      </c>
      <c r="M1" s="8" t="s">
        <v>121</v>
      </c>
      <c r="N1" s="8" t="s">
        <v>122</v>
      </c>
      <c r="T1" s="8" t="s">
        <v>123</v>
      </c>
    </row>
    <row r="2">
      <c r="A2" s="2" t="s">
        <v>84</v>
      </c>
      <c r="B2" s="2">
        <v>100.0</v>
      </c>
      <c r="C2" s="2">
        <v>100.0</v>
      </c>
      <c r="D2" s="2"/>
      <c r="E2" s="2" t="s">
        <v>85</v>
      </c>
      <c r="F2" s="7">
        <f t="shared" ref="F2:F5" si="2">IF(OR(B2="",C2=""),"",C2-B2)</f>
        <v>0</v>
      </c>
      <c r="G2" s="7" t="str">
        <f t="shared" ref="G2:G5" si="3">IF(F2="","Pending Verification",IF(F2=0,"Matched",IF(F2&lt;0,"Short Received","Over Received")))</f>
        <v>Matched</v>
      </c>
      <c r="H2" s="7">
        <f t="shared" ref="H2:H5" si="4">IF(F2="","",MAX(0,-F2))</f>
        <v>0</v>
      </c>
      <c r="I2" s="7" t="str">
        <f t="shared" ref="I2:I5" si="5">IF(G2="Matched","No","Yes")</f>
        <v>No</v>
      </c>
      <c r="J2" s="7" t="str">
        <f t="shared" ref="J2:J5" si="6">IF(G2="Matched","No action required",IF(G2="Short Received","Hold PO closure - investigate shortage",IF(G2="Over Received","Investigate excess receipt","Verify missing data")))</f>
        <v>No action required</v>
      </c>
      <c r="L2" s="7" t="str">
        <f t="shared" ref="L2:N2" si="1">A2</f>
        <v>PO-DE-1005</v>
      </c>
      <c r="M2" s="7">
        <f t="shared" si="1"/>
        <v>100</v>
      </c>
      <c r="N2" s="7">
        <f t="shared" si="1"/>
        <v>100</v>
      </c>
    </row>
    <row r="3">
      <c r="A3" s="2" t="s">
        <v>86</v>
      </c>
      <c r="B3" s="2">
        <v>100.0</v>
      </c>
      <c r="C3" s="2">
        <v>96.0</v>
      </c>
      <c r="D3" s="4" t="s">
        <v>87</v>
      </c>
      <c r="E3" s="2" t="s">
        <v>88</v>
      </c>
      <c r="F3" s="7">
        <f t="shared" si="2"/>
        <v>-4</v>
      </c>
      <c r="G3" s="7" t="str">
        <f t="shared" si="3"/>
        <v>Short Received</v>
      </c>
      <c r="H3" s="7">
        <f t="shared" si="4"/>
        <v>4</v>
      </c>
      <c r="I3" s="7" t="str">
        <f t="shared" si="5"/>
        <v>Yes</v>
      </c>
      <c r="J3" s="7" t="str">
        <f t="shared" si="6"/>
        <v>Hold PO closure - investigate shortage</v>
      </c>
      <c r="L3" s="7" t="str">
        <f t="shared" ref="L3:N3" si="7">A3</f>
        <v>PO-FI-1022</v>
      </c>
      <c r="M3" s="7">
        <f t="shared" si="7"/>
        <v>100</v>
      </c>
      <c r="N3" s="7">
        <f t="shared" si="7"/>
        <v>96</v>
      </c>
      <c r="T3" s="7">
        <f>COUNTA(A2:A5)</f>
        <v>4</v>
      </c>
    </row>
    <row r="4">
      <c r="A4" s="2" t="s">
        <v>89</v>
      </c>
      <c r="B4" s="2">
        <v>100.0</v>
      </c>
      <c r="C4" s="2">
        <v>100.0</v>
      </c>
      <c r="D4" s="2"/>
      <c r="E4" s="2" t="s">
        <v>85</v>
      </c>
      <c r="F4" s="7">
        <f t="shared" si="2"/>
        <v>0</v>
      </c>
      <c r="G4" s="7" t="str">
        <f t="shared" si="3"/>
        <v>Matched</v>
      </c>
      <c r="H4" s="7">
        <f t="shared" si="4"/>
        <v>0</v>
      </c>
      <c r="I4" s="7" t="str">
        <f t="shared" si="5"/>
        <v>No</v>
      </c>
      <c r="J4" s="7" t="str">
        <f t="shared" si="6"/>
        <v>No action required</v>
      </c>
      <c r="L4" s="7" t="str">
        <f t="shared" ref="L4:N4" si="8">A4</f>
        <v>PO-IN-1039</v>
      </c>
      <c r="M4" s="7">
        <f t="shared" si="8"/>
        <v>100</v>
      </c>
      <c r="N4" s="7">
        <f t="shared" si="8"/>
        <v>100</v>
      </c>
    </row>
    <row r="5">
      <c r="A5" s="2" t="s">
        <v>90</v>
      </c>
      <c r="B5" s="2">
        <v>100.0</v>
      </c>
      <c r="C5" s="2">
        <v>96.0</v>
      </c>
      <c r="D5" s="4" t="s">
        <v>87</v>
      </c>
      <c r="E5" s="2" t="s">
        <v>88</v>
      </c>
      <c r="F5" s="7">
        <f t="shared" si="2"/>
        <v>-4</v>
      </c>
      <c r="G5" s="7" t="str">
        <f t="shared" si="3"/>
        <v>Short Received</v>
      </c>
      <c r="H5" s="7">
        <f t="shared" si="4"/>
        <v>4</v>
      </c>
      <c r="I5" s="7" t="str">
        <f t="shared" si="5"/>
        <v>Yes</v>
      </c>
      <c r="J5" s="7" t="str">
        <f t="shared" si="6"/>
        <v>Hold PO closure - investigate shortage</v>
      </c>
      <c r="L5" s="7" t="str">
        <f t="shared" ref="L5:N5" si="9">A5</f>
        <v>PO-DE-1056</v>
      </c>
      <c r="M5" s="7">
        <f t="shared" si="9"/>
        <v>100</v>
      </c>
      <c r="N5" s="7">
        <f t="shared" si="9"/>
        <v>96</v>
      </c>
      <c r="T5" s="8" t="s">
        <v>124</v>
      </c>
    </row>
    <row r="7">
      <c r="T7" s="7">
        <f>COUNTIF(G2:G5,"Matched")</f>
        <v>2</v>
      </c>
    </row>
    <row r="9">
      <c r="T9" s="8" t="s">
        <v>125</v>
      </c>
    </row>
    <row r="11">
      <c r="T11" s="7">
        <f>COUNTIF(G2:G5,"Short Received")</f>
        <v>2</v>
      </c>
    </row>
    <row r="13">
      <c r="T13" s="8" t="s">
        <v>126</v>
      </c>
    </row>
    <row r="15">
      <c r="T15" s="7">
        <f>COUNTIF(G2:G5,"Over Received")</f>
        <v>0</v>
      </c>
    </row>
    <row r="17">
      <c r="T17" s="8" t="s">
        <v>127</v>
      </c>
    </row>
    <row r="19">
      <c r="T19" s="7">
        <f>SUM(H2:H5)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7.0"/>
    <col customWidth="1" min="3" max="3" width="11.43"/>
    <col customWidth="1" min="4" max="4" width="14.29"/>
    <col customWidth="1" min="5" max="5" width="17.0"/>
    <col customWidth="1" min="6" max="6" width="15.0"/>
    <col customWidth="1" min="7" max="7" width="10.71"/>
    <col customWidth="1" min="8" max="8" width="21.14"/>
    <col customWidth="1" min="10" max="10" width="17.14"/>
    <col customWidth="1" min="13" max="13" width="15.0"/>
  </cols>
  <sheetData>
    <row r="1">
      <c r="A1" s="1" t="s">
        <v>3</v>
      </c>
      <c r="B1" s="1" t="s">
        <v>5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J1" s="8" t="s">
        <v>3</v>
      </c>
      <c r="K1" s="8" t="s">
        <v>110</v>
      </c>
      <c r="L1" s="8" t="s">
        <v>111</v>
      </c>
      <c r="M1" s="8" t="s">
        <v>113</v>
      </c>
      <c r="N1" s="8" t="s">
        <v>114</v>
      </c>
      <c r="O1" s="8" t="s">
        <v>116</v>
      </c>
      <c r="P1" s="8" t="s">
        <v>112</v>
      </c>
      <c r="R1" s="8" t="s">
        <v>128</v>
      </c>
      <c r="S1" s="8" t="s">
        <v>129</v>
      </c>
      <c r="T1" s="8" t="s">
        <v>130</v>
      </c>
      <c r="U1" s="8" t="s">
        <v>131</v>
      </c>
      <c r="W1" s="8" t="s">
        <v>3</v>
      </c>
      <c r="X1" s="8" t="s">
        <v>114</v>
      </c>
      <c r="Y1" s="8" t="s">
        <v>132</v>
      </c>
    </row>
    <row r="2">
      <c r="A2" s="7" t="str">
        <f t="array" ref="A2:B16">UNIQUE({'SLA Analysis'!D2:D61,'SLA Analysis'!F2:F61})</f>
        <v>Fidelity NL</v>
      </c>
      <c r="B2" s="7" t="s">
        <v>11</v>
      </c>
      <c r="C2" s="7">
        <f>COUNTIFS('SLA Analysis'!D$2:D$61,A2,'SLA Analysis'!F$2:F$61,B2)</f>
        <v>4</v>
      </c>
      <c r="D2" s="7">
        <f>COUNTIFS('SLA Analysis'!D$2:D$61,A2,'SLA Analysis'!F$2:F$61,B2,'SLA Analysis'!C$2:C$61,"&lt;&gt;")</f>
        <v>4</v>
      </c>
      <c r="E2" s="7">
        <f>IFERROR(AVERAGEIFS('SLA Analysis'!I$2:I$61,'SLA Analysis'!D$2:D$61,A2,'SLA Analysis'!F$2:F$61,B2),"")</f>
        <v>1.25</v>
      </c>
      <c r="F2" s="7">
        <f>COUNTIFS('SLA Analysis'!D$2:D$61,A2,'SLA Analysis'!F$2:F$61,B2,'SLA Analysis'!J$2:J$61,"Over SLA")</f>
        <v>1</v>
      </c>
      <c r="G2" s="9">
        <f t="shared" ref="G2:G16" si="1">IFERROR(F2/D2,0)</f>
        <v>0.25</v>
      </c>
      <c r="H2" s="7">
        <f>COUNTIFS('SLA Analysis'!D$2:D$61,A2,'SLA Analysis'!F$2:F$61,B2,'SLA Analysis'!C$2:C$61,"")</f>
        <v>0</v>
      </c>
      <c r="J2" s="7" t="str">
        <f t="array" ref="J2:J4">UNIQUE(A2:A16)</f>
        <v>Fidelity NL</v>
      </c>
      <c r="K2" s="7">
        <f t="shared" ref="K2:K4" si="2">SUMIF($A$2:$A$16,J2,$C$2:$C$16)</f>
        <v>20</v>
      </c>
      <c r="L2" s="7">
        <f t="shared" ref="L2:L4" si="3">SUMIF($A$2:$A$16,J2,$D$2:$D$16)</f>
        <v>19</v>
      </c>
      <c r="M2" s="7">
        <f t="shared" ref="M2:M4" si="4">SUMIF($A$2:$A$16,J2,$F$2:$F$16)</f>
        <v>5</v>
      </c>
      <c r="N2" s="9">
        <f t="shared" ref="N2:N4" si="5">IFERROR(M2/L2,0)</f>
        <v>0.2631578947</v>
      </c>
      <c r="O2" s="7">
        <f t="shared" ref="O2:O4" si="6">SUMIF($A$2:$A$16,J2,$H$2:$H$16)</f>
        <v>1</v>
      </c>
      <c r="P2" s="10">
        <f>IFERROR(AVERAGEIF('SLA Analysis'!$D$2:$D$61,J2,'SLA Analysis'!$I$2:$I$61),0)</f>
        <v>1.789473684</v>
      </c>
      <c r="R2" s="8" t="s">
        <v>133</v>
      </c>
      <c r="S2" s="7">
        <f>COUNTIF('SLA Analysis'!J2:J61,S1)</f>
        <v>37</v>
      </c>
      <c r="T2" s="7">
        <f>COUNTIF('SLA Analysis'!J2:J61,T1)</f>
        <v>20</v>
      </c>
      <c r="U2" s="7">
        <f>COUNTIF('SLA Analysis'!J2:J61,U1)</f>
        <v>3</v>
      </c>
      <c r="W2" s="8" t="s">
        <v>13</v>
      </c>
      <c r="X2" s="9">
        <f t="shared" ref="X2:X4" si="7">INDEX($N$2:$N$4,MATCH(W2,$J$2:$J$4,0))</f>
        <v>0.4736842105</v>
      </c>
      <c r="Y2" s="7" t="str">
        <f t="shared" ref="Y2:Y4" si="8">INDEX($M$2:$M$4,MATCH(W2,$J$2:$J$4,0))&amp;" / "&amp;INDEX($L$2:$L$4,MATCH(W2,$J$2:$J$4,0))</f>
        <v>9 / 19</v>
      </c>
    </row>
    <row r="3">
      <c r="A3" s="7" t="s">
        <v>13</v>
      </c>
      <c r="B3" s="7" t="s">
        <v>15</v>
      </c>
      <c r="C3" s="7">
        <f>COUNTIFS('SLA Analysis'!D$2:D$61,A3,'SLA Analysis'!F$2:F$61,B3)</f>
        <v>4</v>
      </c>
      <c r="D3" s="7">
        <f>COUNTIFS('SLA Analysis'!D$2:D$61,A3,'SLA Analysis'!F$2:F$61,B3,'SLA Analysis'!C$2:C$61,"&lt;&gt;")</f>
        <v>4</v>
      </c>
      <c r="E3" s="7">
        <f>IFERROR(AVERAGEIFS('SLA Analysis'!I$2:I$61,'SLA Analysis'!D$2:D$61,A3,'SLA Analysis'!F$2:F$61,B3),"")</f>
        <v>2.25</v>
      </c>
      <c r="F3" s="7">
        <f>COUNTIFS('SLA Analysis'!D$2:D$61,A3,'SLA Analysis'!F$2:F$61,B3,'SLA Analysis'!J$2:J$61,"Over SLA")</f>
        <v>2</v>
      </c>
      <c r="G3" s="9">
        <f t="shared" si="1"/>
        <v>0.5</v>
      </c>
      <c r="H3" s="7">
        <f>COUNTIFS('SLA Analysis'!D$2:D$61,A3,'SLA Analysis'!F$2:F$61,B3,'SLA Analysis'!C$2:C$61,"")</f>
        <v>0</v>
      </c>
      <c r="J3" s="7" t="s">
        <v>13</v>
      </c>
      <c r="K3" s="7">
        <f t="shared" si="2"/>
        <v>20</v>
      </c>
      <c r="L3" s="7">
        <f t="shared" si="3"/>
        <v>19</v>
      </c>
      <c r="M3" s="7">
        <f t="shared" si="4"/>
        <v>9</v>
      </c>
      <c r="N3" s="9">
        <f t="shared" si="5"/>
        <v>0.4736842105</v>
      </c>
      <c r="O3" s="7">
        <f t="shared" si="6"/>
        <v>1</v>
      </c>
      <c r="P3" s="10">
        <f>IFERROR(AVERAGEIF('SLA Analysis'!$D$2:$D$61,J3,'SLA Analysis'!$I$2:$I$61),0)</f>
        <v>2.421052632</v>
      </c>
      <c r="R3" s="8"/>
      <c r="W3" s="8" t="s">
        <v>17</v>
      </c>
      <c r="X3" s="9">
        <f t="shared" si="7"/>
        <v>0.3157894737</v>
      </c>
      <c r="Y3" s="7" t="str">
        <f t="shared" si="8"/>
        <v>6 / 19</v>
      </c>
    </row>
    <row r="4">
      <c r="A4" s="7" t="s">
        <v>17</v>
      </c>
      <c r="B4" s="7" t="s">
        <v>19</v>
      </c>
      <c r="C4" s="7">
        <f>COUNTIFS('SLA Analysis'!D$2:D$61,A4,'SLA Analysis'!F$2:F$61,B4)</f>
        <v>4</v>
      </c>
      <c r="D4" s="7">
        <f>COUNTIFS('SLA Analysis'!D$2:D$61,A4,'SLA Analysis'!F$2:F$61,B4,'SLA Analysis'!C$2:C$61,"&lt;&gt;")</f>
        <v>4</v>
      </c>
      <c r="E4" s="7">
        <f>IFERROR(AVERAGEIFS('SLA Analysis'!I$2:I$61,'SLA Analysis'!D$2:D$61,A4,'SLA Analysis'!F$2:F$61,B4),"")</f>
        <v>1.75</v>
      </c>
      <c r="F4" s="7">
        <f>COUNTIFS('SLA Analysis'!D$2:D$61,A4,'SLA Analysis'!F$2:F$61,B4,'SLA Analysis'!J$2:J$61,"Over SLA")</f>
        <v>1</v>
      </c>
      <c r="G4" s="9">
        <f t="shared" si="1"/>
        <v>0.25</v>
      </c>
      <c r="H4" s="7">
        <f>COUNTIFS('SLA Analysis'!D$2:D$61,A4,'SLA Analysis'!F$2:F$61,B4,'SLA Analysis'!C$2:C$61,"")</f>
        <v>0</v>
      </c>
      <c r="J4" s="7" t="s">
        <v>17</v>
      </c>
      <c r="K4" s="7">
        <f t="shared" si="2"/>
        <v>20</v>
      </c>
      <c r="L4" s="7">
        <f t="shared" si="3"/>
        <v>19</v>
      </c>
      <c r="M4" s="7">
        <f t="shared" si="4"/>
        <v>6</v>
      </c>
      <c r="N4" s="9">
        <f t="shared" si="5"/>
        <v>0.3157894737</v>
      </c>
      <c r="O4" s="7">
        <f t="shared" si="6"/>
        <v>1</v>
      </c>
      <c r="P4" s="10">
        <f>IFERROR(AVERAGEIF('SLA Analysis'!$D$2:$D$61,J4,'SLA Analysis'!$I$2:$I$61),0)</f>
        <v>1.894736842</v>
      </c>
      <c r="R4" s="8"/>
      <c r="W4" s="8" t="s">
        <v>9</v>
      </c>
      <c r="X4" s="9">
        <f t="shared" si="7"/>
        <v>0.2631578947</v>
      </c>
      <c r="Y4" s="7" t="str">
        <f t="shared" si="8"/>
        <v>5 / 19</v>
      </c>
    </row>
    <row r="5">
      <c r="A5" s="7" t="s">
        <v>9</v>
      </c>
      <c r="B5" s="7" t="s">
        <v>21</v>
      </c>
      <c r="C5" s="7">
        <f>COUNTIFS('SLA Analysis'!D$2:D$61,A5,'SLA Analysis'!F$2:F$61,B5)</f>
        <v>4</v>
      </c>
      <c r="D5" s="7">
        <f>COUNTIFS('SLA Analysis'!D$2:D$61,A5,'SLA Analysis'!F$2:F$61,B5,'SLA Analysis'!C$2:C$61,"&lt;&gt;")</f>
        <v>4</v>
      </c>
      <c r="E5" s="7">
        <f>IFERROR(AVERAGEIFS('SLA Analysis'!I$2:I$61,'SLA Analysis'!D$2:D$61,A5,'SLA Analysis'!F$2:F$61,B5),"")</f>
        <v>1.5</v>
      </c>
      <c r="F5" s="7">
        <f>COUNTIFS('SLA Analysis'!D$2:D$61,A5,'SLA Analysis'!F$2:F$61,B5,'SLA Analysis'!J$2:J$61,"Over SLA")</f>
        <v>1</v>
      </c>
      <c r="G5" s="9">
        <f t="shared" si="1"/>
        <v>0.25</v>
      </c>
      <c r="H5" s="7">
        <f>COUNTIFS('SLA Analysis'!D$2:D$61,A5,'SLA Analysis'!F$2:F$61,B5,'SLA Analysis'!C$2:C$61,"")</f>
        <v>0</v>
      </c>
    </row>
    <row r="6">
      <c r="A6" s="7" t="s">
        <v>13</v>
      </c>
      <c r="B6" s="7" t="s">
        <v>23</v>
      </c>
      <c r="C6" s="7">
        <f>COUNTIFS('SLA Analysis'!D$2:D$61,A6,'SLA Analysis'!F$2:F$61,B6)</f>
        <v>4</v>
      </c>
      <c r="D6" s="7">
        <f>COUNTIFS('SLA Analysis'!D$2:D$61,A6,'SLA Analysis'!F$2:F$61,B6,'SLA Analysis'!C$2:C$61,"&lt;&gt;")</f>
        <v>4</v>
      </c>
      <c r="E6" s="7">
        <f>IFERROR(AVERAGEIFS('SLA Analysis'!I$2:I$61,'SLA Analysis'!D$2:D$61,A6,'SLA Analysis'!F$2:F$61,B6),"")</f>
        <v>2.25</v>
      </c>
      <c r="F6" s="7">
        <f>COUNTIFS('SLA Analysis'!D$2:D$61,A6,'SLA Analysis'!F$2:F$61,B6,'SLA Analysis'!J$2:J$61,"Over SLA")</f>
        <v>2</v>
      </c>
      <c r="G6" s="9">
        <f t="shared" si="1"/>
        <v>0.5</v>
      </c>
      <c r="H6" s="7">
        <f>COUNTIFS('SLA Analysis'!D$2:D$61,A6,'SLA Analysis'!F$2:F$61,B6,'SLA Analysis'!C$2:C$61,"")</f>
        <v>0</v>
      </c>
    </row>
    <row r="7">
      <c r="A7" s="7" t="s">
        <v>17</v>
      </c>
      <c r="B7" s="7" t="s">
        <v>11</v>
      </c>
      <c r="C7" s="7">
        <f>COUNTIFS('SLA Analysis'!D$2:D$61,A7,'SLA Analysis'!F$2:F$61,B7)</f>
        <v>4</v>
      </c>
      <c r="D7" s="7">
        <f>COUNTIFS('SLA Analysis'!D$2:D$61,A7,'SLA Analysis'!F$2:F$61,B7,'SLA Analysis'!C$2:C$61,"&lt;&gt;")</f>
        <v>4</v>
      </c>
      <c r="E7" s="7">
        <f>IFERROR(AVERAGEIFS('SLA Analysis'!I$2:I$61,'SLA Analysis'!D$2:D$61,A7,'SLA Analysis'!F$2:F$61,B7),"")</f>
        <v>2.25</v>
      </c>
      <c r="F7" s="7">
        <f>COUNTIFS('SLA Analysis'!D$2:D$61,A7,'SLA Analysis'!F$2:F$61,B7,'SLA Analysis'!J$2:J$61,"Over SLA")</f>
        <v>2</v>
      </c>
      <c r="G7" s="9">
        <f t="shared" si="1"/>
        <v>0.5</v>
      </c>
      <c r="H7" s="7">
        <f>COUNTIFS('SLA Analysis'!D$2:D$61,A7,'SLA Analysis'!F$2:F$61,B7,'SLA Analysis'!C$2:C$61,"")</f>
        <v>0</v>
      </c>
    </row>
    <row r="8">
      <c r="A8" s="7" t="s">
        <v>9</v>
      </c>
      <c r="B8" s="7" t="s">
        <v>15</v>
      </c>
      <c r="C8" s="7">
        <f>COUNTIFS('SLA Analysis'!D$2:D$61,A8,'SLA Analysis'!F$2:F$61,B8)</f>
        <v>4</v>
      </c>
      <c r="D8" s="7">
        <f>COUNTIFS('SLA Analysis'!D$2:D$61,A8,'SLA Analysis'!F$2:F$61,B8,'SLA Analysis'!C$2:C$61,"&lt;&gt;")</f>
        <v>4</v>
      </c>
      <c r="E8" s="7">
        <f>IFERROR(AVERAGEIFS('SLA Analysis'!I$2:I$61,'SLA Analysis'!D$2:D$61,A8,'SLA Analysis'!F$2:F$61,B8),"")</f>
        <v>2.5</v>
      </c>
      <c r="F8" s="7">
        <f>COUNTIFS('SLA Analysis'!D$2:D$61,A8,'SLA Analysis'!F$2:F$61,B8,'SLA Analysis'!J$2:J$61,"Over SLA")</f>
        <v>2</v>
      </c>
      <c r="G8" s="9">
        <f t="shared" si="1"/>
        <v>0.5</v>
      </c>
      <c r="H8" s="7">
        <f>COUNTIFS('SLA Analysis'!D$2:D$61,A8,'SLA Analysis'!F$2:F$61,B8,'SLA Analysis'!C$2:C$61,"")</f>
        <v>0</v>
      </c>
    </row>
    <row r="9">
      <c r="A9" s="7" t="s">
        <v>13</v>
      </c>
      <c r="B9" s="7" t="s">
        <v>19</v>
      </c>
      <c r="C9" s="7">
        <f>COUNTIFS('SLA Analysis'!D$2:D$61,A9,'SLA Analysis'!F$2:F$61,B9)</f>
        <v>4</v>
      </c>
      <c r="D9" s="7">
        <f>COUNTIFS('SLA Analysis'!D$2:D$61,A9,'SLA Analysis'!F$2:F$61,B9,'SLA Analysis'!C$2:C$61,"&lt;&gt;")</f>
        <v>4</v>
      </c>
      <c r="E9" s="7">
        <f>IFERROR(AVERAGEIFS('SLA Analysis'!I$2:I$61,'SLA Analysis'!D$2:D$61,A9,'SLA Analysis'!F$2:F$61,B9),"")</f>
        <v>2.75</v>
      </c>
      <c r="F9" s="7">
        <f>COUNTIFS('SLA Analysis'!D$2:D$61,A9,'SLA Analysis'!F$2:F$61,B9,'SLA Analysis'!J$2:J$61,"Over SLA")</f>
        <v>2</v>
      </c>
      <c r="G9" s="9">
        <f t="shared" si="1"/>
        <v>0.5</v>
      </c>
      <c r="H9" s="7">
        <f>COUNTIFS('SLA Analysis'!D$2:D$61,A9,'SLA Analysis'!F$2:F$61,B9,'SLA Analysis'!C$2:C$61,"")</f>
        <v>0</v>
      </c>
    </row>
    <row r="10">
      <c r="A10" s="7" t="s">
        <v>17</v>
      </c>
      <c r="B10" s="7" t="s">
        <v>21</v>
      </c>
      <c r="C10" s="7">
        <f>COUNTIFS('SLA Analysis'!D$2:D$61,A10,'SLA Analysis'!F$2:F$61,B10)</f>
        <v>4</v>
      </c>
      <c r="D10" s="7">
        <f>COUNTIFS('SLA Analysis'!D$2:D$61,A10,'SLA Analysis'!F$2:F$61,B10,'SLA Analysis'!C$2:C$61,"&lt;&gt;")</f>
        <v>4</v>
      </c>
      <c r="E10" s="7">
        <f>IFERROR(AVERAGEIFS('SLA Analysis'!I$2:I$61,'SLA Analysis'!D$2:D$61,A10,'SLA Analysis'!F$2:F$61,B10),"")</f>
        <v>1.5</v>
      </c>
      <c r="F10" s="7">
        <f>COUNTIFS('SLA Analysis'!D$2:D$61,A10,'SLA Analysis'!F$2:F$61,B10,'SLA Analysis'!J$2:J$61,"Over SLA")</f>
        <v>1</v>
      </c>
      <c r="G10" s="9">
        <f t="shared" si="1"/>
        <v>0.25</v>
      </c>
      <c r="H10" s="7">
        <f>COUNTIFS('SLA Analysis'!D$2:D$61,A10,'SLA Analysis'!F$2:F$61,B10,'SLA Analysis'!C$2:C$61,"")</f>
        <v>0</v>
      </c>
    </row>
    <row r="11">
      <c r="A11" s="7" t="s">
        <v>9</v>
      </c>
      <c r="B11" s="7" t="s">
        <v>23</v>
      </c>
      <c r="C11" s="7">
        <f>COUNTIFS('SLA Analysis'!D$2:D$61,A11,'SLA Analysis'!F$2:F$61,B11)</f>
        <v>4</v>
      </c>
      <c r="D11" s="7">
        <f>COUNTIFS('SLA Analysis'!D$2:D$61,A11,'SLA Analysis'!F$2:F$61,B11,'SLA Analysis'!C$2:C$61,"&lt;&gt;")</f>
        <v>4</v>
      </c>
      <c r="E11" s="7">
        <f>IFERROR(AVERAGEIFS('SLA Analysis'!I$2:I$61,'SLA Analysis'!D$2:D$61,A11,'SLA Analysis'!F$2:F$61,B11),"")</f>
        <v>2</v>
      </c>
      <c r="F11" s="7">
        <f>COUNTIFS('SLA Analysis'!D$2:D$61,A11,'SLA Analysis'!F$2:F$61,B11,'SLA Analysis'!J$2:J$61,"Over SLA")</f>
        <v>1</v>
      </c>
      <c r="G11" s="9">
        <f t="shared" si="1"/>
        <v>0.25</v>
      </c>
      <c r="H11" s="7">
        <f>COUNTIFS('SLA Analysis'!D$2:D$61,A11,'SLA Analysis'!F$2:F$61,B11,'SLA Analysis'!C$2:C$61,"")</f>
        <v>0</v>
      </c>
    </row>
    <row r="12">
      <c r="A12" s="7" t="s">
        <v>13</v>
      </c>
      <c r="B12" s="7" t="s">
        <v>11</v>
      </c>
      <c r="C12" s="7">
        <f>COUNTIFS('SLA Analysis'!D$2:D$61,A12,'SLA Analysis'!F$2:F$61,B12)</f>
        <v>4</v>
      </c>
      <c r="D12" s="7">
        <f>COUNTIFS('SLA Analysis'!D$2:D$61,A12,'SLA Analysis'!F$2:F$61,B12,'SLA Analysis'!C$2:C$61,"&lt;&gt;")</f>
        <v>3</v>
      </c>
      <c r="E12" s="7">
        <f>IFERROR(AVERAGEIFS('SLA Analysis'!I$2:I$61,'SLA Analysis'!D$2:D$61,A12,'SLA Analysis'!F$2:F$61,B12),"")</f>
        <v>2</v>
      </c>
      <c r="F12" s="7">
        <f>COUNTIFS('SLA Analysis'!D$2:D$61,A12,'SLA Analysis'!F$2:F$61,B12,'SLA Analysis'!J$2:J$61,"Over SLA")</f>
        <v>1</v>
      </c>
      <c r="G12" s="9">
        <f t="shared" si="1"/>
        <v>0.3333333333</v>
      </c>
      <c r="H12" s="7">
        <f>COUNTIFS('SLA Analysis'!D$2:D$61,A12,'SLA Analysis'!F$2:F$61,B12,'SLA Analysis'!C$2:C$61,"")</f>
        <v>1</v>
      </c>
    </row>
    <row r="13">
      <c r="A13" s="7" t="s">
        <v>17</v>
      </c>
      <c r="B13" s="7" t="s">
        <v>15</v>
      </c>
      <c r="C13" s="7">
        <f>COUNTIFS('SLA Analysis'!D$2:D$61,A13,'SLA Analysis'!F$2:F$61,B13)</f>
        <v>4</v>
      </c>
      <c r="D13" s="7">
        <f>COUNTIFS('SLA Analysis'!D$2:D$61,A13,'SLA Analysis'!F$2:F$61,B13,'SLA Analysis'!C$2:C$61,"&lt;&gt;")</f>
        <v>3</v>
      </c>
      <c r="E13" s="7">
        <f>IFERROR(AVERAGEIFS('SLA Analysis'!I$2:I$61,'SLA Analysis'!D$2:D$61,A13,'SLA Analysis'!F$2:F$61,B13),"")</f>
        <v>2.333333333</v>
      </c>
      <c r="F13" s="7">
        <f>COUNTIFS('SLA Analysis'!D$2:D$61,A13,'SLA Analysis'!F$2:F$61,B13,'SLA Analysis'!J$2:J$61,"Over SLA")</f>
        <v>1</v>
      </c>
      <c r="G13" s="9">
        <f t="shared" si="1"/>
        <v>0.3333333333</v>
      </c>
      <c r="H13" s="7">
        <f>COUNTIFS('SLA Analysis'!D$2:D$61,A13,'SLA Analysis'!F$2:F$61,B13,'SLA Analysis'!C$2:C$61,"")</f>
        <v>1</v>
      </c>
    </row>
    <row r="14">
      <c r="A14" s="7" t="s">
        <v>9</v>
      </c>
      <c r="B14" s="7" t="s">
        <v>19</v>
      </c>
      <c r="C14" s="7">
        <f>COUNTIFS('SLA Analysis'!D$2:D$61,A14,'SLA Analysis'!F$2:F$61,B14)</f>
        <v>4</v>
      </c>
      <c r="D14" s="7">
        <f>COUNTIFS('SLA Analysis'!D$2:D$61,A14,'SLA Analysis'!F$2:F$61,B14,'SLA Analysis'!C$2:C$61,"&lt;&gt;")</f>
        <v>3</v>
      </c>
      <c r="E14" s="7">
        <f>IFERROR(AVERAGEIFS('SLA Analysis'!I$2:I$61,'SLA Analysis'!D$2:D$61,A14,'SLA Analysis'!F$2:F$61,B14),"")</f>
        <v>1.666666667</v>
      </c>
      <c r="F14" s="7">
        <f>COUNTIFS('SLA Analysis'!D$2:D$61,A14,'SLA Analysis'!F$2:F$61,B14,'SLA Analysis'!J$2:J$61,"Over SLA")</f>
        <v>0</v>
      </c>
      <c r="G14" s="9">
        <f t="shared" si="1"/>
        <v>0</v>
      </c>
      <c r="H14" s="7">
        <f>COUNTIFS('SLA Analysis'!D$2:D$61,A14,'SLA Analysis'!F$2:F$61,B14,'SLA Analysis'!C$2:C$61,"")</f>
        <v>1</v>
      </c>
    </row>
    <row r="15">
      <c r="A15" s="7" t="s">
        <v>13</v>
      </c>
      <c r="B15" s="7" t="s">
        <v>21</v>
      </c>
      <c r="C15" s="7">
        <f>COUNTIFS('SLA Analysis'!D$2:D$61,A15,'SLA Analysis'!F$2:F$61,B15)</f>
        <v>4</v>
      </c>
      <c r="D15" s="7">
        <f>COUNTIFS('SLA Analysis'!D$2:D$61,A15,'SLA Analysis'!F$2:F$61,B15,'SLA Analysis'!C$2:C$61,"&lt;&gt;")</f>
        <v>4</v>
      </c>
      <c r="E15" s="7">
        <f>IFERROR(AVERAGEIFS('SLA Analysis'!I$2:I$61,'SLA Analysis'!D$2:D$61,A15,'SLA Analysis'!F$2:F$61,B15),"")</f>
        <v>2.75</v>
      </c>
      <c r="F15" s="7">
        <f>COUNTIFS('SLA Analysis'!D$2:D$61,A15,'SLA Analysis'!F$2:F$61,B15,'SLA Analysis'!J$2:J$61,"Over SLA")</f>
        <v>2</v>
      </c>
      <c r="G15" s="9">
        <f t="shared" si="1"/>
        <v>0.5</v>
      </c>
      <c r="H15" s="7">
        <f>COUNTIFS('SLA Analysis'!D$2:D$61,A15,'SLA Analysis'!F$2:F$61,B15,'SLA Analysis'!C$2:C$61,"")</f>
        <v>0</v>
      </c>
    </row>
    <row r="16">
      <c r="A16" s="7" t="s">
        <v>17</v>
      </c>
      <c r="B16" s="7" t="s">
        <v>23</v>
      </c>
      <c r="C16" s="7">
        <f>COUNTIFS('SLA Analysis'!D$2:D$61,A16,'SLA Analysis'!F$2:F$61,B16)</f>
        <v>4</v>
      </c>
      <c r="D16" s="7">
        <f>COUNTIFS('SLA Analysis'!D$2:D$61,A16,'SLA Analysis'!F$2:F$61,B16,'SLA Analysis'!C$2:C$61,"&lt;&gt;")</f>
        <v>4</v>
      </c>
      <c r="E16" s="7">
        <f>IFERROR(AVERAGEIFS('SLA Analysis'!I$2:I$61,'SLA Analysis'!D$2:D$61,A16,'SLA Analysis'!F$2:F$61,B16),"")</f>
        <v>1.75</v>
      </c>
      <c r="F16" s="7">
        <f>COUNTIFS('SLA Analysis'!D$2:D$61,A16,'SLA Analysis'!F$2:F$61,B16,'SLA Analysis'!J$2:J$61,"Over SLA")</f>
        <v>1</v>
      </c>
      <c r="G16" s="9">
        <f t="shared" si="1"/>
        <v>0.25</v>
      </c>
      <c r="H16" s="7">
        <f>COUNTIFS('SLA Analysis'!D$2:D$61,A16,'SLA Analysis'!F$2:F$61,B16,'SLA Analysis'!C$2:C$61,"")</f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2026-09-18T15:48:04Z</dcterms:created>
  <dc:creator>openpyxl</dc:creator>
</cp:coreProperties>
</file>